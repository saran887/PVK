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20490" windowHeight="7755"/>
  </bookViews>
  <sheets>
    <sheet name="SAP" sheetId="8" r:id="rId1"/>
  </sheets>
  <externalReferences>
    <externalReference r:id="rId2"/>
  </externalReferences>
  <definedNames>
    <definedName name="_xlnm._FilterDatabase" localSheetId="0" hidden="1">SAP!$A$16:$T$106</definedName>
  </definedNames>
  <calcPr calcId="144525"/>
</workbook>
</file>

<file path=xl/calcChain.xml><?xml version="1.0" encoding="utf-8"?>
<calcChain xmlns="http://schemas.openxmlformats.org/spreadsheetml/2006/main">
  <c r="I74" i="8" l="1"/>
  <c r="I75" i="8"/>
  <c r="I84" i="8"/>
  <c r="I80" i="8"/>
  <c r="I30" i="8" l="1"/>
  <c r="I28" i="8"/>
  <c r="I29" i="8"/>
  <c r="I68" i="8" l="1"/>
  <c r="I63" i="8" l="1"/>
  <c r="I58" i="8" l="1"/>
  <c r="I89" i="8" l="1"/>
  <c r="I66" i="8" l="1"/>
  <c r="I101" i="8" l="1"/>
  <c r="I85" i="8" l="1"/>
  <c r="I90" i="8"/>
  <c r="I88" i="8"/>
  <c r="I87" i="8"/>
  <c r="I86" i="8"/>
  <c r="I18" i="8"/>
  <c r="I19" i="8"/>
  <c r="I20" i="8"/>
  <c r="I21" i="8"/>
  <c r="I22" i="8"/>
  <c r="I23" i="8"/>
  <c r="I24" i="8"/>
  <c r="I25" i="8"/>
  <c r="I26" i="8"/>
  <c r="I27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9" i="8"/>
  <c r="I60" i="8"/>
  <c r="I61" i="8"/>
  <c r="I62" i="8"/>
  <c r="I64" i="8"/>
  <c r="I65" i="8"/>
  <c r="I67" i="8"/>
  <c r="I69" i="8"/>
  <c r="I70" i="8"/>
  <c r="I71" i="8"/>
  <c r="I72" i="8"/>
  <c r="I73" i="8"/>
  <c r="I76" i="8"/>
  <c r="I77" i="8"/>
  <c r="I78" i="8"/>
  <c r="I79" i="8"/>
  <c r="I83" i="8"/>
  <c r="I81" i="8"/>
  <c r="I82" i="8"/>
  <c r="I91" i="8"/>
  <c r="I92" i="8"/>
  <c r="I93" i="8"/>
  <c r="I94" i="8"/>
  <c r="I95" i="8"/>
  <c r="I96" i="8"/>
  <c r="I97" i="8"/>
  <c r="I98" i="8"/>
  <c r="I99" i="8"/>
  <c r="I100" i="8"/>
  <c r="I102" i="8"/>
  <c r="I103" i="8"/>
  <c r="I17" i="8"/>
  <c r="I104" i="8" l="1"/>
  <c r="I105" i="8"/>
  <c r="I106" i="8" l="1"/>
</calcChain>
</file>

<file path=xl/comments1.xml><?xml version="1.0" encoding="utf-8"?>
<comments xmlns="http://schemas.openxmlformats.org/spreadsheetml/2006/main">
  <authors>
    <author>tamcbill</author>
  </authors>
  <commentList>
    <comment ref="I10" authorId="0">
      <text>
        <r>
          <rPr>
            <b/>
            <u/>
            <sz val="9"/>
            <color indexed="81"/>
            <rFont val="Tahoma"/>
            <family val="2"/>
          </rPr>
          <t>TAMC:</t>
        </r>
        <r>
          <rPr>
            <b/>
            <sz val="9"/>
            <color indexed="81"/>
            <rFont val="Tahoma"/>
            <family val="2"/>
          </rPr>
          <t xml:space="preserve">
If any remarks Please type the box</t>
        </r>
      </text>
    </comment>
  </commentList>
</comments>
</file>

<file path=xl/sharedStrings.xml><?xml version="1.0" encoding="utf-8"?>
<sst xmlns="http://schemas.openxmlformats.org/spreadsheetml/2006/main" count="120" uniqueCount="116">
  <si>
    <t>S.No</t>
  </si>
  <si>
    <t>HSN Code</t>
  </si>
  <si>
    <t>DATE</t>
  </si>
  <si>
    <t>ASO NO</t>
  </si>
  <si>
    <t>A-11/1, L.G.B. COMPOUND, 3RD STREET, MENGLES ROAD,,</t>
  </si>
  <si>
    <t xml:space="preserve"> DINDIGUL, TAMIL NADU, 624 001. INDIA</t>
  </si>
  <si>
    <t>GSTIN:33AAGFT7096M1ZJ</t>
  </si>
  <si>
    <t>CUSTOMERS DETAILS</t>
  </si>
  <si>
    <t>STATION</t>
  </si>
  <si>
    <t>CONTACT NUMBER</t>
  </si>
  <si>
    <t xml:space="preserve">EXEMPTED  VALUE </t>
  </si>
  <si>
    <t>TAXABLE  VALUE</t>
  </si>
  <si>
    <t xml:space="preserve">GST Tax </t>
  </si>
  <si>
    <t xml:space="preserve"> ORDER QTY</t>
  </si>
  <si>
    <t>VALUE</t>
  </si>
  <si>
    <t>PRODUCTS</t>
  </si>
  <si>
    <t>GRAND TOTAL VALUE</t>
  </si>
  <si>
    <t>DISTRIBUTOR NAME</t>
  </si>
  <si>
    <t>AMOUNT TRANSFERED</t>
  </si>
  <si>
    <t>TAMC (ANIL) BANK NAME</t>
  </si>
  <si>
    <t>TOP ANIL MAARKETING COMPANY - DGL</t>
  </si>
  <si>
    <t>REMARKS</t>
  </si>
  <si>
    <t>Item  Code</t>
  </si>
  <si>
    <r>
      <rPr>
        <b/>
        <sz val="16"/>
        <color indexed="36"/>
        <rFont val="Calibri"/>
        <family val="2"/>
      </rPr>
      <t>E-mail id: sales@theanilgroup.com</t>
    </r>
  </si>
  <si>
    <t>ROASTED VERMICELLI 180G_3.6 KG BAG</t>
  </si>
  <si>
    <t>ROASTED VERMICELLI 450G_3.6 KG BAG</t>
  </si>
  <si>
    <t>ROASTED VERMICELLI 900G_9KG BOX</t>
  </si>
  <si>
    <t>ROASTED VERMICELLI 120G_3.6 KG BAG</t>
  </si>
  <si>
    <t>ROASTED VERMICELLI 90G_3.6KG BAG</t>
  </si>
  <si>
    <t>RAGI VERMICELLI 180G_3.6KG BOX</t>
  </si>
  <si>
    <t>RAGI VERMICELLI 450G_3.6KG BOX</t>
  </si>
  <si>
    <t>RAGI VERMICELLI 900G_9KG BOX</t>
  </si>
  <si>
    <t>LEMON VERMICELLI 200G_4KG BOX</t>
  </si>
  <si>
    <t>TAMARIND VERMICELLI 200G_4 KG BOX</t>
  </si>
  <si>
    <t>MILLET COMBO 180G_9.7KG BOX</t>
  </si>
  <si>
    <t>WHEAT VERMICELLI 180G_3.6KG BOX</t>
  </si>
  <si>
    <t>KAMBU VERMICELLI180G_3.6KG BOX</t>
  </si>
  <si>
    <t>CHOLAM VERMICELLI 180G_3.6KG BOX</t>
  </si>
  <si>
    <t>VARAGU VERMICELLI 180G_3.6KG BOX</t>
  </si>
  <si>
    <t>THINAI VERMICELLI 180G_3.6KG BOX</t>
  </si>
  <si>
    <t>RICE VERMICELLI 200G_5KG BOX</t>
  </si>
  <si>
    <t>RICE VERMICELLI 500G_5KG BOX</t>
  </si>
  <si>
    <t>RICE VERMICELLI 1KG_10 KG BOX</t>
  </si>
  <si>
    <t>WHOLE WHEAT CHAKKI ATTA 500G_20KG BAG</t>
  </si>
  <si>
    <t>WHOLE WHEAT CHAKKI ATTA 1KG_20KG BAG</t>
  </si>
  <si>
    <t>WHOLE WHEAT CHAKKI ATTA 5 KG BAG</t>
  </si>
  <si>
    <t>WHOLE WHEAT CHAKKI ATTA 10 KG BAG</t>
  </si>
  <si>
    <t>WHOLE WHEAT FLOUR (ATTA) 500G_20KG BAG</t>
  </si>
  <si>
    <t>WHOLE WHEAT FLOUR(ATTA) 1KG_20KG BAG</t>
  </si>
  <si>
    <t>WHOLE WHEAT FLOUR (ATTA) 5KG BAG</t>
  </si>
  <si>
    <t>WHOLE WHEAT FLOUR (ATTA) 10 KG BAG</t>
  </si>
  <si>
    <t>REFINED WHEAT FLOUR MAIDA 200G 10KG BAG</t>
  </si>
  <si>
    <t>REFINED WHEAT FLOUR MAIDA 500G_20KG BAG</t>
  </si>
  <si>
    <t>REFINED WHEAT FLOUR MAIDA 1KG_20KG BAG</t>
  </si>
  <si>
    <t>REFINED WHEAT FLOUR MAIDA 10KG LS BAG</t>
  </si>
  <si>
    <t>ROASTED RAVA 10KG LS BAG BAG</t>
  </si>
  <si>
    <t>SAMBA RAVA 200G_10KG BAG</t>
  </si>
  <si>
    <t>SAMBA RAVA 500G_20KG BAG</t>
  </si>
  <si>
    <t>RAGI FLOUR 500G 20KG BAG</t>
  </si>
  <si>
    <t>RICE FLOUR 500G_20KG BAG</t>
  </si>
  <si>
    <t>RICE FLOUR 10KG LS BAG</t>
  </si>
  <si>
    <t>STRING HOPPER FLOUR 500G_10KG BAG</t>
  </si>
  <si>
    <t>MURUKKU FLOUR 500G_10KG BAG</t>
  </si>
  <si>
    <t>SURYA NOODLES 180G_5.4KG BOX</t>
  </si>
  <si>
    <t>SURYA NOODLES 450G_4.5KG BOX</t>
  </si>
  <si>
    <t>SURYA NOODLES 900G_4.5KG BOX</t>
  </si>
  <si>
    <t>APPALAM BABY 50G SARAM_ 12KG BOX</t>
  </si>
  <si>
    <t>APPALAM 4 NO 100G_15KG TN BOX</t>
  </si>
  <si>
    <t>APPALAM 3 NO 150G_15KG TN BOX</t>
  </si>
  <si>
    <t>APPALAM 2 NO 200G_15KG TN BOX</t>
  </si>
  <si>
    <t>APPALAM 4 NO 50G_15KG TN BOX</t>
  </si>
  <si>
    <t>APPALAM 4 NO 150G_15KG TN BOX</t>
  </si>
  <si>
    <t>APPALAM 4 NO 75G_15KG TN BOX</t>
  </si>
  <si>
    <t>APPALAM 3 NO 75G_15KG TN BOX</t>
  </si>
  <si>
    <t>APPALAM 3 NO 200G_14.4KG TN BOX</t>
  </si>
  <si>
    <t>APPALAM 3 NO 400G_14.4KG BGR BOX</t>
  </si>
  <si>
    <t>APPALAM 4NO 25G SARAM_12.5KG BOX</t>
  </si>
  <si>
    <t>CRYSTAL SALT 1 KG_25KG BAG</t>
  </si>
  <si>
    <t>FREE FLOW SALT 1 KG_25KG BAG</t>
  </si>
  <si>
    <t>ROASTED PAYASA VERMICELLI 100G_10KG BAG</t>
  </si>
  <si>
    <t>LONG CUT VERMICELLI 300G_9KG BOX</t>
  </si>
  <si>
    <t>FREE FLOW SALT_500G_25KG_BAG</t>
  </si>
  <si>
    <t>NEFT /RTGS/IMPS (UTR) DETAILS</t>
  </si>
  <si>
    <t>ROASTED PAYASA VERMICELLI 200G_10KG BAG</t>
  </si>
  <si>
    <t>HAKKA NOODLES 180G_5.4KG BOX</t>
  </si>
  <si>
    <t>BIRIYANI VERMICELLI 200G_4KG BOX</t>
  </si>
  <si>
    <t xml:space="preserve"> PRICE (Price+Tax)</t>
  </si>
  <si>
    <t>WHOLE WHEAT CHAKKI ATTA 30 KG LS BAG</t>
  </si>
  <si>
    <t>WHOLE WHEAT FLOUR (ATTA) 30 KG LS BAG</t>
  </si>
  <si>
    <t>REFINED WHEAT FLOUR MAIDA 30KG LS BAG</t>
  </si>
  <si>
    <t>ROASTED RAVA 30KG LS BAG</t>
  </si>
  <si>
    <t>RUSK 60G_2.88 KG BOX</t>
  </si>
  <si>
    <t>APPALAM 1 NO 250G_15KG TN BOX</t>
  </si>
  <si>
    <t>KOZHUKATTAI FLOUR 500G_25KG BAG</t>
  </si>
  <si>
    <t>KAMBU FLOUR 500GM 20KG BAG</t>
  </si>
  <si>
    <t>DOUBLE ROASTED RAVA 200G_10KG BAG</t>
  </si>
  <si>
    <t>DOUBLE ROASTED RAVA 500G_20KG BAG</t>
  </si>
  <si>
    <t>DOUBLE ROASTED RAVA 1 KG_20KG BAG</t>
  </si>
  <si>
    <t>FLOUR COMBO BAG (ATTA,MAIDA,RAVA) 13.5 KG</t>
  </si>
  <si>
    <t>PURCHASE ORDER FORM TAMC -2025</t>
  </si>
  <si>
    <t>MASALA VERMICELLI COMBO 200G_ 6KG BAG</t>
  </si>
  <si>
    <t>RAGI DOSA MIX_500G_10KG BAG</t>
  </si>
  <si>
    <t>KAMBU DOSA MIX_500G_10KG BAG</t>
  </si>
  <si>
    <t>CHOLAM DOSA MIX_500G_10KG BAG</t>
  </si>
  <si>
    <t>VARAGU DOSA MIX_500G_10KG BAG</t>
  </si>
  <si>
    <t>THINAI DOSA MIX_500G_10KG BAG</t>
  </si>
  <si>
    <t>ADAI DOSA MIX_500G_10KG BAG</t>
  </si>
  <si>
    <t>NOODLES 30G_7.20KG BOX</t>
  </si>
  <si>
    <t>NOODLES 55G_6.60KG BOX</t>
  </si>
  <si>
    <t>NOODLES 110G_6.60KG BOX</t>
  </si>
  <si>
    <t>NOODLES 220G_6.60KG BOX</t>
  </si>
  <si>
    <t>HAKKA NOODLES 450G_4.5KG BOX</t>
  </si>
  <si>
    <t>ADAI DOSA MIX_250G_5+5 KG BAG (1+1)</t>
  </si>
  <si>
    <t>INSTANT IDIYAPPAM 150G_4.5 BOX-RUSK FREE</t>
  </si>
  <si>
    <t>ERODE</t>
  </si>
  <si>
    <t>SRI VISHNU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</si>
</sst>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&quot;Rs.&quot;\ #,##0.00"/>
    <numFmt numFmtId="166" formatCode="[$-14009]dd\-mm\-yyyy;@"/>
  </numFmts>
  <fonts count="40" x14ac:knownFonts="1">
    <font>
      <sz val="11"/>
      <color theme="1"/>
      <name val="Calibri"/>
      <family val="2"/>
      <scheme val="minor"/>
    </font>
    <font>
      <b/>
      <sz val="11"/>
      <color indexed="10"/>
      <name val="Calibri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16"/>
      <color indexed="36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642523"/>
      <name val="Calibri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rgb="FF7030A0"/>
      <name val="Calibri"/>
      <family val="2"/>
      <scheme val="minor"/>
    </font>
    <font>
      <sz val="16"/>
      <color rgb="FF7030A0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</font>
    <font>
      <b/>
      <sz val="11"/>
      <color rgb="FF00206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47">
    <xf numFmtId="0" fontId="0" fillId="0" borderId="0" xfId="0"/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2" fontId="11" fillId="0" borderId="0" xfId="0" applyNumberFormat="1" applyFont="1" applyProtection="1">
      <protection locked="0"/>
    </xf>
    <xf numFmtId="164" fontId="12" fillId="0" borderId="2" xfId="1" applyNumberFormat="1" applyFont="1" applyBorder="1" applyAlignment="1" applyProtection="1">
      <alignment horizontal="center"/>
    </xf>
    <xf numFmtId="164" fontId="13" fillId="0" borderId="3" xfId="1" applyNumberFormat="1" applyFont="1" applyBorder="1" applyAlignment="1" applyProtection="1">
      <alignment horizontal="center"/>
    </xf>
    <xf numFmtId="164" fontId="14" fillId="0" borderId="4" xfId="1" applyNumberFormat="1" applyFont="1" applyBorder="1" applyAlignment="1" applyProtection="1">
      <alignment horizontal="center"/>
    </xf>
    <xf numFmtId="0" fontId="15" fillId="0" borderId="0" xfId="0" applyFont="1" applyBorder="1" applyAlignment="1" applyProtection="1"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5" xfId="0" applyFont="1" applyBorder="1" applyAlignment="1" applyProtection="1">
      <protection locked="0"/>
    </xf>
    <xf numFmtId="0" fontId="15" fillId="0" borderId="6" xfId="0" applyFont="1" applyBorder="1" applyAlignment="1" applyProtection="1">
      <alignment vertical="center"/>
      <protection locked="0"/>
    </xf>
    <xf numFmtId="2" fontId="16" fillId="2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164" fontId="6" fillId="0" borderId="1" xfId="1" applyFont="1" applyBorder="1" applyAlignment="1" applyProtection="1">
      <alignment horizontal="center" vertical="center"/>
    </xf>
    <xf numFmtId="0" fontId="18" fillId="0" borderId="8" xfId="0" applyFont="1" applyBorder="1" applyAlignment="1" applyProtection="1">
      <protection locked="0"/>
    </xf>
    <xf numFmtId="166" fontId="7" fillId="0" borderId="2" xfId="0" applyNumberFormat="1" applyFont="1" applyBorder="1" applyAlignment="1" applyProtection="1">
      <protection locked="0"/>
    </xf>
    <xf numFmtId="0" fontId="7" fillId="0" borderId="9" xfId="0" applyFont="1" applyFill="1" applyBorder="1" applyAlignment="1" applyProtection="1">
      <alignment horizontal="center" vertical="center"/>
    </xf>
    <xf numFmtId="0" fontId="7" fillId="0" borderId="10" xfId="0" applyFont="1" applyFill="1" applyBorder="1" applyAlignment="1" applyProtection="1">
      <alignment horizontal="center" vertical="center"/>
    </xf>
    <xf numFmtId="0" fontId="7" fillId="0" borderId="11" xfId="0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20" fillId="3" borderId="1" xfId="0" applyNumberFormat="1" applyFont="1" applyFill="1" applyBorder="1" applyAlignment="1" applyProtection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 wrapText="1"/>
    </xf>
    <xf numFmtId="9" fontId="20" fillId="0" borderId="1" xfId="2" applyNumberFormat="1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21" fillId="0" borderId="1" xfId="0" quotePrefix="1" applyFont="1" applyFill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9" fontId="20" fillId="0" borderId="1" xfId="2" applyNumberFormat="1" applyFont="1" applyFill="1" applyBorder="1" applyAlignment="1" applyProtection="1">
      <alignment horizontal="center" vertical="center"/>
    </xf>
    <xf numFmtId="0" fontId="21" fillId="0" borderId="1" xfId="0" quotePrefix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 applyProtection="1">
      <alignment horizontal="center" vertical="center"/>
      <protection locked="0"/>
    </xf>
    <xf numFmtId="164" fontId="20" fillId="0" borderId="1" xfId="1" applyFont="1" applyBorder="1" applyAlignment="1" applyProtection="1">
      <alignment horizontal="center" vertical="center"/>
    </xf>
    <xf numFmtId="2" fontId="20" fillId="0" borderId="2" xfId="1" applyNumberFormat="1" applyFont="1" applyBorder="1" applyAlignment="1" applyProtection="1">
      <alignment horizontal="center" vertical="center"/>
    </xf>
    <xf numFmtId="164" fontId="20" fillId="0" borderId="13" xfId="1" applyFont="1" applyBorder="1" applyAlignment="1" applyProtection="1">
      <alignment horizontal="center" vertical="center"/>
    </xf>
    <xf numFmtId="2" fontId="20" fillId="3" borderId="13" xfId="0" applyNumberFormat="1" applyFont="1" applyFill="1" applyBorder="1" applyAlignment="1" applyProtection="1">
      <alignment horizontal="center" vertical="center"/>
    </xf>
    <xf numFmtId="2" fontId="20" fillId="0" borderId="4" xfId="1" applyNumberFormat="1" applyFont="1" applyBorder="1" applyAlignment="1" applyProtection="1">
      <alignment horizontal="center" vertical="center"/>
    </xf>
    <xf numFmtId="2" fontId="20" fillId="0" borderId="14" xfId="1" applyNumberFormat="1" applyFont="1" applyBorder="1" applyAlignment="1" applyProtection="1">
      <alignment horizontal="center" vertical="center"/>
    </xf>
    <xf numFmtId="4" fontId="9" fillId="0" borderId="0" xfId="0" applyNumberFormat="1" applyFont="1" applyProtection="1">
      <protection locked="0"/>
    </xf>
    <xf numFmtId="2" fontId="9" fillId="0" borderId="0" xfId="0" applyNumberFormat="1" applyFont="1" applyProtection="1">
      <protection locked="0"/>
    </xf>
    <xf numFmtId="9" fontId="9" fillId="0" borderId="0" xfId="2" applyFont="1" applyProtection="1">
      <protection locked="0"/>
    </xf>
    <xf numFmtId="0" fontId="0" fillId="0" borderId="0" xfId="0" applyFont="1" applyProtection="1">
      <protection locked="0"/>
    </xf>
    <xf numFmtId="2" fontId="0" fillId="0" borderId="0" xfId="0" applyNumberFormat="1" applyFont="1" applyProtection="1">
      <protection locked="0"/>
    </xf>
    <xf numFmtId="0" fontId="10" fillId="0" borderId="36" xfId="0" applyFont="1" applyFill="1" applyBorder="1" applyAlignment="1" applyProtection="1">
      <alignment horizontal="center" vertical="center" wrapText="1"/>
    </xf>
    <xf numFmtId="0" fontId="10" fillId="0" borderId="37" xfId="0" applyFont="1" applyFill="1" applyBorder="1" applyAlignment="1" applyProtection="1">
      <alignment horizontal="center" vertical="center" wrapText="1"/>
    </xf>
    <xf numFmtId="0" fontId="10" fillId="0" borderId="37" xfId="0" applyFont="1" applyFill="1" applyBorder="1" applyAlignment="1" applyProtection="1">
      <alignment horizontal="center" vertical="center" wrapText="1"/>
      <protection locked="0"/>
    </xf>
    <xf numFmtId="2" fontId="19" fillId="0" borderId="40" xfId="0" applyNumberFormat="1" applyFont="1" applyFill="1" applyBorder="1" applyAlignment="1" applyProtection="1">
      <alignment horizontal="center" vertical="center" wrapText="1"/>
    </xf>
    <xf numFmtId="9" fontId="20" fillId="0" borderId="12" xfId="2" applyNumberFormat="1" applyFont="1" applyBorder="1" applyAlignment="1" applyProtection="1">
      <alignment horizontal="center" vertical="center"/>
    </xf>
    <xf numFmtId="2" fontId="20" fillId="3" borderId="12" xfId="0" applyNumberFormat="1" applyFont="1" applyFill="1" applyBorder="1" applyAlignment="1" applyProtection="1">
      <alignment horizontal="center" vertical="center"/>
    </xf>
    <xf numFmtId="164" fontId="20" fillId="0" borderId="12" xfId="1" applyFont="1" applyBorder="1" applyAlignment="1" applyProtection="1">
      <alignment horizontal="center" vertical="center"/>
    </xf>
    <xf numFmtId="9" fontId="20" fillId="0" borderId="13" xfId="2" applyNumberFormat="1" applyFont="1" applyBorder="1" applyAlignment="1" applyProtection="1">
      <alignment horizontal="center" vertical="center"/>
    </xf>
    <xf numFmtId="1" fontId="35" fillId="0" borderId="12" xfId="0" applyNumberFormat="1" applyFont="1" applyFill="1" applyBorder="1" applyAlignment="1" applyProtection="1">
      <alignment horizontal="center" vertical="center"/>
    </xf>
    <xf numFmtId="1" fontId="35" fillId="0" borderId="1" xfId="0" applyNumberFormat="1" applyFont="1" applyFill="1" applyBorder="1" applyAlignment="1" applyProtection="1">
      <alignment horizontal="center" vertical="center"/>
    </xf>
    <xf numFmtId="1" fontId="35" fillId="0" borderId="13" xfId="0" applyNumberFormat="1" applyFont="1" applyFill="1" applyBorder="1" applyAlignment="1" applyProtection="1">
      <alignment horizontal="center" vertical="center"/>
    </xf>
    <xf numFmtId="1" fontId="35" fillId="0" borderId="41" xfId="0" applyNumberFormat="1" applyFont="1" applyFill="1" applyBorder="1" applyAlignment="1" applyProtection="1">
      <alignment horizontal="center" vertical="center"/>
    </xf>
    <xf numFmtId="2" fontId="20" fillId="3" borderId="41" xfId="0" applyNumberFormat="1" applyFont="1" applyFill="1" applyBorder="1" applyAlignment="1" applyProtection="1">
      <alignment horizontal="center" vertical="center"/>
    </xf>
    <xf numFmtId="0" fontId="36" fillId="0" borderId="1" xfId="0" quotePrefix="1" applyNumberFormat="1" applyFont="1" applyFill="1" applyBorder="1" applyAlignment="1">
      <alignment vertical="center"/>
    </xf>
    <xf numFmtId="0" fontId="21" fillId="0" borderId="41" xfId="0" quotePrefix="1" applyFont="1" applyBorder="1" applyAlignment="1">
      <alignment horizontal="center" vertical="center"/>
    </xf>
    <xf numFmtId="9" fontId="20" fillId="0" borderId="41" xfId="2" applyNumberFormat="1" applyFont="1" applyBorder="1" applyAlignment="1" applyProtection="1">
      <alignment horizontal="center" vertical="center"/>
    </xf>
    <xf numFmtId="0" fontId="5" fillId="0" borderId="41" xfId="0" applyFont="1" applyFill="1" applyBorder="1" applyAlignment="1" applyProtection="1">
      <alignment horizontal="center" vertical="center"/>
      <protection locked="0"/>
    </xf>
    <xf numFmtId="2" fontId="20" fillId="0" borderId="3" xfId="1" applyNumberFormat="1" applyFont="1" applyBorder="1" applyAlignment="1" applyProtection="1">
      <alignment horizontal="center" vertical="center"/>
    </xf>
    <xf numFmtId="0" fontId="9" fillId="0" borderId="13" xfId="0" applyNumberFormat="1" applyFont="1" applyFill="1" applyBorder="1" applyAlignment="1">
      <alignment vertical="center" wrapText="1"/>
    </xf>
    <xf numFmtId="0" fontId="5" fillId="0" borderId="13" xfId="0" applyFont="1" applyFill="1" applyBorder="1" applyAlignment="1" applyProtection="1">
      <alignment horizontal="center" vertical="center"/>
      <protection locked="0"/>
    </xf>
    <xf numFmtId="2" fontId="20" fillId="4" borderId="1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  <protection locked="0"/>
    </xf>
    <xf numFmtId="2" fontId="9" fillId="0" borderId="0" xfId="0" applyNumberFormat="1" applyFont="1" applyBorder="1" applyProtection="1">
      <protection locked="0"/>
    </xf>
    <xf numFmtId="9" fontId="20" fillId="0" borderId="0" xfId="2" applyNumberFormat="1" applyFont="1" applyBorder="1" applyAlignment="1" applyProtection="1">
      <alignment horizontal="center" vertical="center"/>
    </xf>
    <xf numFmtId="1" fontId="35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9" fontId="20" fillId="0" borderId="0" xfId="2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  <protection locked="0"/>
    </xf>
    <xf numFmtId="164" fontId="20" fillId="0" borderId="0" xfId="1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  <protection locked="0"/>
    </xf>
    <xf numFmtId="164" fontId="6" fillId="0" borderId="0" xfId="1" applyFont="1" applyBorder="1" applyAlignment="1" applyProtection="1">
      <alignment horizontal="center" vertical="center"/>
    </xf>
    <xf numFmtId="4" fontId="9" fillId="0" borderId="0" xfId="0" applyNumberFormat="1" applyFont="1" applyBorder="1" applyProtection="1">
      <protection locked="0"/>
    </xf>
    <xf numFmtId="0" fontId="37" fillId="0" borderId="0" xfId="0" applyFont="1" applyProtection="1">
      <protection locked="0"/>
    </xf>
    <xf numFmtId="4" fontId="37" fillId="0" borderId="0" xfId="0" applyNumberFormat="1" applyFont="1" applyProtection="1">
      <protection locked="0"/>
    </xf>
    <xf numFmtId="0" fontId="37" fillId="0" borderId="0" xfId="0" applyFont="1" applyBorder="1" applyProtection="1">
      <protection locked="0"/>
    </xf>
    <xf numFmtId="0" fontId="38" fillId="0" borderId="0" xfId="0" applyFont="1" applyProtection="1">
      <protection locked="0"/>
    </xf>
    <xf numFmtId="4" fontId="38" fillId="0" borderId="0" xfId="0" applyNumberFormat="1" applyFont="1" applyProtection="1">
      <protection locked="0"/>
    </xf>
    <xf numFmtId="2" fontId="39" fillId="3" borderId="0" xfId="0" applyNumberFormat="1" applyFont="1" applyFill="1" applyBorder="1" applyAlignment="1" applyProtection="1">
      <alignment horizontal="center" vertical="center"/>
    </xf>
    <xf numFmtId="2" fontId="39" fillId="0" borderId="0" xfId="1" applyNumberFormat="1" applyFont="1" applyBorder="1" applyAlignment="1" applyProtection="1">
      <alignment horizontal="center" vertical="center"/>
    </xf>
    <xf numFmtId="0" fontId="38" fillId="0" borderId="0" xfId="0" applyFont="1" applyBorder="1" applyProtection="1">
      <protection locked="0"/>
    </xf>
    <xf numFmtId="0" fontId="22" fillId="0" borderId="13" xfId="0" applyFont="1" applyFill="1" applyBorder="1" applyAlignment="1">
      <alignment horizontal="left" vertical="center" wrapText="1"/>
    </xf>
    <xf numFmtId="0" fontId="22" fillId="0" borderId="30" xfId="0" applyFont="1" applyFill="1" applyBorder="1" applyAlignment="1">
      <alignment horizontal="left" vertical="center" wrapText="1"/>
    </xf>
    <xf numFmtId="0" fontId="22" fillId="0" borderId="3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22" fillId="0" borderId="41" xfId="0" applyFont="1" applyFill="1" applyBorder="1" applyAlignment="1">
      <alignment horizontal="left" vertical="center" wrapText="1"/>
    </xf>
    <xf numFmtId="0" fontId="7" fillId="5" borderId="27" xfId="0" applyFont="1" applyFill="1" applyBorder="1" applyAlignment="1" applyProtection="1">
      <alignment horizontal="right"/>
    </xf>
    <xf numFmtId="0" fontId="0" fillId="0" borderId="28" xfId="0" applyBorder="1"/>
    <xf numFmtId="0" fontId="0" fillId="0" borderId="35" xfId="0" applyBorder="1"/>
    <xf numFmtId="0" fontId="34" fillId="0" borderId="1" xfId="0" applyFont="1" applyBorder="1" applyAlignment="1">
      <alignment horizontal="left" vertical="center" wrapText="1"/>
    </xf>
    <xf numFmtId="0" fontId="7" fillId="2" borderId="32" xfId="0" applyFont="1" applyFill="1" applyBorder="1" applyAlignment="1" applyProtection="1">
      <alignment horizontal="right"/>
    </xf>
    <xf numFmtId="0" fontId="0" fillId="0" borderId="33" xfId="0" applyBorder="1"/>
    <xf numFmtId="0" fontId="0" fillId="0" borderId="34" xfId="0" applyBorder="1"/>
    <xf numFmtId="0" fontId="7" fillId="3" borderId="21" xfId="0" applyFont="1" applyFill="1" applyBorder="1" applyAlignment="1" applyProtection="1">
      <alignment horizontal="right"/>
    </xf>
    <xf numFmtId="0" fontId="0" fillId="0" borderId="22" xfId="0" applyBorder="1"/>
    <xf numFmtId="0" fontId="0" fillId="0" borderId="31" xfId="0" applyBorder="1"/>
    <xf numFmtId="0" fontId="22" fillId="0" borderId="30" xfId="0" applyFont="1" applyBorder="1" applyAlignment="1">
      <alignment horizontal="left" vertical="center" wrapText="1"/>
    </xf>
    <xf numFmtId="0" fontId="22" fillId="0" borderId="31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7" fillId="0" borderId="38" xfId="0" applyFont="1" applyFill="1" applyBorder="1" applyAlignment="1" applyProtection="1">
      <alignment horizontal="center" vertical="center"/>
    </xf>
    <xf numFmtId="0" fontId="0" fillId="0" borderId="39" xfId="0" applyBorder="1"/>
    <xf numFmtId="0" fontId="30" fillId="2" borderId="19" xfId="0" applyFont="1" applyFill="1" applyBorder="1" applyAlignment="1" applyProtection="1">
      <alignment horizontal="left" vertical="center"/>
      <protection locked="0"/>
    </xf>
    <xf numFmtId="0" fontId="0" fillId="0" borderId="20" xfId="0" applyBorder="1"/>
    <xf numFmtId="0" fontId="0" fillId="0" borderId="7" xfId="0" applyBorder="1"/>
    <xf numFmtId="0" fontId="31" fillId="0" borderId="19" xfId="0" applyFont="1" applyBorder="1" applyAlignment="1" applyProtection="1">
      <alignment horizontal="center" vertical="center"/>
      <protection locked="0"/>
    </xf>
    <xf numFmtId="0" fontId="10" fillId="2" borderId="21" xfId="0" applyFont="1" applyFill="1" applyBorder="1" applyAlignment="1" applyProtection="1">
      <alignment horizontal="left" vertical="center"/>
      <protection locked="0"/>
    </xf>
    <xf numFmtId="0" fontId="0" fillId="2" borderId="22" xfId="0" applyFill="1" applyBorder="1"/>
    <xf numFmtId="0" fontId="0" fillId="2" borderId="23" xfId="0" applyFill="1" applyBorder="1"/>
    <xf numFmtId="0" fontId="23" fillId="0" borderId="15" xfId="0" applyFont="1" applyBorder="1" applyAlignment="1" applyProtection="1">
      <alignment horizontal="center"/>
    </xf>
    <xf numFmtId="0" fontId="24" fillId="0" borderId="16" xfId="0" applyFont="1" applyBorder="1"/>
    <xf numFmtId="0" fontId="24" fillId="0" borderId="17" xfId="0" applyFont="1" applyBorder="1"/>
    <xf numFmtId="0" fontId="25" fillId="0" borderId="5" xfId="0" applyFont="1" applyBorder="1" applyAlignment="1" applyProtection="1">
      <alignment horizontal="center" vertical="center"/>
    </xf>
    <xf numFmtId="0" fontId="0" fillId="0" borderId="0" xfId="0" applyBorder="1"/>
    <xf numFmtId="0" fontId="0" fillId="0" borderId="18" xfId="0" applyBorder="1"/>
    <xf numFmtId="0" fontId="18" fillId="0" borderId="5" xfId="0" applyFont="1" applyBorder="1" applyAlignment="1" applyProtection="1">
      <alignment horizontal="center" vertical="center"/>
    </xf>
    <xf numFmtId="0" fontId="26" fillId="0" borderId="5" xfId="0" applyFont="1" applyBorder="1" applyAlignment="1" applyProtection="1">
      <alignment horizontal="center" vertical="center"/>
    </xf>
    <xf numFmtId="0" fontId="27" fillId="0" borderId="0" xfId="0" applyFont="1" applyBorder="1"/>
    <xf numFmtId="0" fontId="27" fillId="0" borderId="18" xfId="0" applyFont="1" applyBorder="1"/>
    <xf numFmtId="0" fontId="28" fillId="0" borderId="5" xfId="0" applyFont="1" applyBorder="1" applyAlignment="1" applyProtection="1">
      <alignment horizontal="center"/>
    </xf>
    <xf numFmtId="0" fontId="29" fillId="0" borderId="0" xfId="0" applyFont="1" applyBorder="1"/>
    <xf numFmtId="0" fontId="29" fillId="0" borderId="18" xfId="0" applyFont="1" applyBorder="1"/>
    <xf numFmtId="0" fontId="32" fillId="0" borderId="21" xfId="0" applyFont="1" applyBorder="1" applyAlignment="1" applyProtection="1">
      <alignment horizontal="center"/>
      <protection locked="0"/>
    </xf>
    <xf numFmtId="0" fontId="0" fillId="0" borderId="23" xfId="0" applyBorder="1"/>
    <xf numFmtId="2" fontId="18" fillId="0" borderId="24" xfId="0" applyNumberFormat="1" applyFont="1" applyBorder="1" applyAlignment="1" applyProtection="1">
      <alignment horizontal="center" vertical="center" wrapText="1"/>
      <protection locked="0"/>
    </xf>
    <xf numFmtId="0" fontId="0" fillId="0" borderId="25" xfId="0" applyBorder="1"/>
    <xf numFmtId="0" fontId="0" fillId="0" borderId="26" xfId="0" applyBorder="1"/>
    <xf numFmtId="165" fontId="1" fillId="0" borderId="21" xfId="0" applyNumberFormat="1" applyFont="1" applyBorder="1" applyAlignment="1" applyProtection="1">
      <alignment horizontal="center"/>
      <protection locked="0"/>
    </xf>
    <xf numFmtId="0" fontId="33" fillId="0" borderId="21" xfId="0" applyFont="1" applyBorder="1" applyAlignment="1" applyProtection="1">
      <alignment horizontal="center"/>
      <protection locked="0"/>
    </xf>
    <xf numFmtId="0" fontId="10" fillId="4" borderId="21" xfId="0" applyFont="1" applyFill="1" applyBorder="1" applyAlignment="1" applyProtection="1">
      <alignment horizontal="left" vertical="center"/>
      <protection locked="0"/>
    </xf>
    <xf numFmtId="0" fontId="9" fillId="4" borderId="22" xfId="0" applyFont="1" applyFill="1" applyBorder="1"/>
    <xf numFmtId="0" fontId="9" fillId="4" borderId="23" xfId="0" applyFont="1" applyFill="1" applyBorder="1"/>
    <xf numFmtId="0" fontId="10" fillId="2" borderId="27" xfId="0" applyFont="1" applyFill="1" applyBorder="1" applyAlignment="1" applyProtection="1">
      <alignment horizontal="left" vertical="center"/>
      <protection locked="0"/>
    </xf>
    <xf numFmtId="0" fontId="0" fillId="2" borderId="28" xfId="0" applyFill="1" applyBorder="1"/>
    <xf numFmtId="0" fontId="0" fillId="2" borderId="29" xfId="0" applyFill="1" applyBorder="1"/>
    <xf numFmtId="0" fontId="33" fillId="0" borderId="27" xfId="0" applyFont="1" applyBorder="1" applyAlignment="1" applyProtection="1">
      <alignment horizontal="center"/>
      <protection locked="0"/>
    </xf>
    <xf numFmtId="0" fontId="0" fillId="0" borderId="29" xfId="0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243840</xdr:colOff>
      <xdr:row>8</xdr:row>
      <xdr:rowOff>7620</xdr:rowOff>
    </xdr:to>
    <xdr:pic macro="[1]!Picture4_Click">
      <xdr:nvPicPr>
        <xdr:cNvPr id="4332" name="Picture 4" descr="C:\Users\tamcbill\Desktop\emailsig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1661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Manimaran\Downloads\Users\tamcbill\Downloads\ANIL%20FOODS%20ORDER%20FORM%202=27.06.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MC"/>
      <sheetName val="ANIL FOODS ORDER FORM 2=27.06"/>
    </sheetNames>
    <definedNames>
      <definedName name="Picture4_Click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30"/>
  <sheetViews>
    <sheetView tabSelected="1" topLeftCell="A27" workbookViewId="0">
      <selection activeCell="M9" sqref="M9"/>
    </sheetView>
  </sheetViews>
  <sheetFormatPr defaultColWidth="9.140625" defaultRowHeight="15.75" x14ac:dyDescent="0.25"/>
  <cols>
    <col min="1" max="1" width="4.85546875" style="3" bestFit="1" customWidth="1"/>
    <col min="2" max="2" width="8.28515625" style="14" bestFit="1" customWidth="1"/>
    <col min="3" max="3" width="12.5703125" style="2" customWidth="1"/>
    <col min="4" max="4" width="29.5703125" style="2" customWidth="1"/>
    <col min="5" max="5" width="4.5703125" style="4" bestFit="1" customWidth="1"/>
    <col min="6" max="6" width="8" style="2" bestFit="1" customWidth="1"/>
    <col min="7" max="7" width="7.42578125" style="4" customWidth="1"/>
    <col min="8" max="8" width="9" style="2" customWidth="1"/>
    <col min="9" max="9" width="12.85546875" style="5" customWidth="1"/>
    <col min="10" max="10" width="8.28515625" style="2" customWidth="1"/>
    <col min="11" max="11" width="11.140625" style="2" customWidth="1"/>
    <col min="12" max="12" width="13" style="2" customWidth="1"/>
    <col min="13" max="16384" width="9.140625" style="2"/>
  </cols>
  <sheetData>
    <row r="1" spans="1:15" s="1" customFormat="1" ht="21" x14ac:dyDescent="0.35">
      <c r="A1" s="119" t="s">
        <v>20</v>
      </c>
      <c r="B1" s="120"/>
      <c r="C1" s="120"/>
      <c r="D1" s="120"/>
      <c r="E1" s="120"/>
      <c r="F1" s="120"/>
      <c r="G1" s="120"/>
      <c r="H1" s="120"/>
      <c r="I1" s="121"/>
    </row>
    <row r="2" spans="1:15" ht="15" x14ac:dyDescent="0.25">
      <c r="A2" s="122" t="s">
        <v>4</v>
      </c>
      <c r="B2" s="123"/>
      <c r="C2" s="123"/>
      <c r="D2" s="123"/>
      <c r="E2" s="123"/>
      <c r="F2" s="123"/>
      <c r="G2" s="123"/>
      <c r="H2" s="123"/>
      <c r="I2" s="124"/>
    </row>
    <row r="3" spans="1:15" ht="15" x14ac:dyDescent="0.25">
      <c r="A3" s="122" t="s">
        <v>5</v>
      </c>
      <c r="B3" s="123"/>
      <c r="C3" s="123"/>
      <c r="D3" s="123"/>
      <c r="E3" s="123"/>
      <c r="F3" s="123"/>
      <c r="G3" s="123"/>
      <c r="H3" s="123"/>
      <c r="I3" s="124"/>
    </row>
    <row r="4" spans="1:15" ht="15" x14ac:dyDescent="0.25">
      <c r="A4" s="125" t="s">
        <v>6</v>
      </c>
      <c r="B4" s="123"/>
      <c r="C4" s="123"/>
      <c r="D4" s="123"/>
      <c r="E4" s="123"/>
      <c r="F4" s="123"/>
      <c r="G4" s="123"/>
      <c r="H4" s="123"/>
      <c r="I4" s="124"/>
    </row>
    <row r="5" spans="1:15" ht="21" x14ac:dyDescent="0.35">
      <c r="A5" s="126" t="s">
        <v>23</v>
      </c>
      <c r="B5" s="127"/>
      <c r="C5" s="127"/>
      <c r="D5" s="127"/>
      <c r="E5" s="127"/>
      <c r="F5" s="127"/>
      <c r="G5" s="127"/>
      <c r="H5" s="127"/>
      <c r="I5" s="128"/>
    </row>
    <row r="6" spans="1:15" ht="12.75" x14ac:dyDescent="0.2">
      <c r="A6" s="129" t="s">
        <v>99</v>
      </c>
      <c r="B6" s="130"/>
      <c r="C6" s="130"/>
      <c r="D6" s="130"/>
      <c r="E6" s="130"/>
      <c r="F6" s="130"/>
      <c r="G6" s="130"/>
      <c r="H6" s="130"/>
      <c r="I6" s="131"/>
    </row>
    <row r="7" spans="1:15" ht="15.75" customHeight="1" x14ac:dyDescent="0.25">
      <c r="A7" s="11"/>
      <c r="B7" s="9"/>
      <c r="C7" s="9"/>
      <c r="D7" s="9"/>
      <c r="E7" s="9"/>
      <c r="F7" s="9"/>
      <c r="G7" s="9"/>
      <c r="H7" s="10" t="s">
        <v>2</v>
      </c>
      <c r="I7" s="18">
        <v>45995</v>
      </c>
    </row>
    <row r="8" spans="1:15" ht="15.75" customHeight="1" thickBot="1" x14ac:dyDescent="0.25">
      <c r="A8" s="11"/>
      <c r="B8" s="9"/>
      <c r="C8" s="9"/>
      <c r="D8" s="9"/>
      <c r="E8" s="9"/>
      <c r="F8" s="9"/>
      <c r="G8" s="9"/>
      <c r="H8" s="12" t="s">
        <v>3</v>
      </c>
      <c r="I8" s="17"/>
    </row>
    <row r="9" spans="1:15" ht="18.75" x14ac:dyDescent="0.25">
      <c r="A9" s="112" t="s">
        <v>7</v>
      </c>
      <c r="B9" s="113"/>
      <c r="C9" s="114"/>
      <c r="D9" s="115"/>
      <c r="E9" s="113"/>
      <c r="F9" s="113"/>
      <c r="G9" s="113"/>
      <c r="H9" s="114"/>
      <c r="I9" s="13" t="s">
        <v>21</v>
      </c>
    </row>
    <row r="10" spans="1:15" ht="20.100000000000001" customHeight="1" x14ac:dyDescent="0.25">
      <c r="A10" s="116" t="s">
        <v>17</v>
      </c>
      <c r="B10" s="117"/>
      <c r="C10" s="118"/>
      <c r="D10" s="132" t="s">
        <v>115</v>
      </c>
      <c r="E10" s="105"/>
      <c r="F10" s="105"/>
      <c r="G10" s="105"/>
      <c r="H10" s="133"/>
      <c r="I10" s="134"/>
    </row>
    <row r="11" spans="1:15" ht="20.100000000000001" customHeight="1" x14ac:dyDescent="0.25">
      <c r="A11" s="116" t="s">
        <v>8</v>
      </c>
      <c r="B11" s="117"/>
      <c r="C11" s="118"/>
      <c r="D11" s="132" t="s">
        <v>114</v>
      </c>
      <c r="E11" s="105"/>
      <c r="F11" s="105"/>
      <c r="G11" s="105"/>
      <c r="H11" s="133"/>
      <c r="I11" s="135"/>
    </row>
    <row r="12" spans="1:15" ht="20.100000000000001" customHeight="1" x14ac:dyDescent="0.25">
      <c r="A12" s="116" t="s">
        <v>18</v>
      </c>
      <c r="B12" s="117"/>
      <c r="C12" s="118"/>
      <c r="D12" s="137">
        <v>106178</v>
      </c>
      <c r="E12" s="105"/>
      <c r="F12" s="105"/>
      <c r="G12" s="105"/>
      <c r="H12" s="133"/>
      <c r="I12" s="135"/>
    </row>
    <row r="13" spans="1:15" ht="20.100000000000001" customHeight="1" x14ac:dyDescent="0.25">
      <c r="A13" s="116" t="s">
        <v>19</v>
      </c>
      <c r="B13" s="117"/>
      <c r="C13" s="118"/>
      <c r="D13" s="138"/>
      <c r="E13" s="105"/>
      <c r="F13" s="105"/>
      <c r="G13" s="105"/>
      <c r="H13" s="133"/>
      <c r="I13" s="135"/>
    </row>
    <row r="14" spans="1:15" ht="20.100000000000001" customHeight="1" x14ac:dyDescent="0.25">
      <c r="A14" s="139" t="s">
        <v>82</v>
      </c>
      <c r="B14" s="140"/>
      <c r="C14" s="141"/>
      <c r="D14" s="138"/>
      <c r="E14" s="105"/>
      <c r="F14" s="105"/>
      <c r="G14" s="105"/>
      <c r="H14" s="133"/>
      <c r="I14" s="135"/>
      <c r="K14"/>
      <c r="L14"/>
    </row>
    <row r="15" spans="1:15" ht="20.100000000000001" customHeight="1" thickBot="1" x14ac:dyDescent="0.3">
      <c r="A15" s="142" t="s">
        <v>9</v>
      </c>
      <c r="B15" s="143"/>
      <c r="C15" s="144"/>
      <c r="D15" s="145">
        <v>9750030032</v>
      </c>
      <c r="E15" s="98"/>
      <c r="F15" s="98"/>
      <c r="G15" s="98"/>
      <c r="H15" s="146"/>
      <c r="I15" s="136"/>
      <c r="O15" s="43"/>
    </row>
    <row r="16" spans="1:15" ht="24.75" thickBot="1" x14ac:dyDescent="0.3">
      <c r="A16" s="48" t="s">
        <v>0</v>
      </c>
      <c r="B16" s="49" t="s">
        <v>22</v>
      </c>
      <c r="C16" s="110" t="s">
        <v>15</v>
      </c>
      <c r="D16" s="111"/>
      <c r="E16" s="49" t="s">
        <v>12</v>
      </c>
      <c r="F16" s="49" t="s">
        <v>1</v>
      </c>
      <c r="G16" s="50" t="s">
        <v>13</v>
      </c>
      <c r="H16" s="49" t="s">
        <v>86</v>
      </c>
      <c r="I16" s="51" t="s">
        <v>14</v>
      </c>
      <c r="N16" s="84"/>
      <c r="O16" s="85"/>
    </row>
    <row r="17" spans="1:20" ht="18" customHeight="1" x14ac:dyDescent="0.2">
      <c r="A17" s="19">
        <v>1</v>
      </c>
      <c r="B17" s="24">
        <v>30000441</v>
      </c>
      <c r="C17" s="92" t="s">
        <v>24</v>
      </c>
      <c r="D17" s="92"/>
      <c r="E17" s="52">
        <v>0.05</v>
      </c>
      <c r="F17" s="56">
        <v>19021900</v>
      </c>
      <c r="G17" s="25"/>
      <c r="H17" s="53">
        <v>304.5</v>
      </c>
      <c r="I17" s="42">
        <f>G17*H17</f>
        <v>0</v>
      </c>
      <c r="J17" s="44"/>
      <c r="M17" s="69"/>
      <c r="N17" s="86"/>
      <c r="O17" s="87"/>
      <c r="P17" s="70"/>
      <c r="Q17" s="71"/>
      <c r="R17" s="72"/>
      <c r="S17" s="69"/>
      <c r="T17" s="73"/>
    </row>
    <row r="18" spans="1:20" ht="18" customHeight="1" x14ac:dyDescent="0.2">
      <c r="A18" s="20">
        <v>2</v>
      </c>
      <c r="B18" s="26">
        <v>30000454</v>
      </c>
      <c r="C18" s="93" t="s">
        <v>25</v>
      </c>
      <c r="D18" s="93"/>
      <c r="E18" s="27">
        <v>0.05</v>
      </c>
      <c r="F18" s="57">
        <v>19021900</v>
      </c>
      <c r="G18" s="28">
        <v>50</v>
      </c>
      <c r="H18" s="23">
        <v>304.5</v>
      </c>
      <c r="I18" s="38">
        <f t="shared" ref="I18:I75" si="0">G18*H18</f>
        <v>15225</v>
      </c>
      <c r="M18" s="69"/>
      <c r="N18" s="86"/>
      <c r="O18" s="87"/>
      <c r="P18" s="73"/>
      <c r="Q18" s="71"/>
      <c r="R18" s="72"/>
      <c r="S18" s="69"/>
      <c r="T18" s="73"/>
    </row>
    <row r="19" spans="1:20" ht="18" customHeight="1" x14ac:dyDescent="0.2">
      <c r="A19" s="20">
        <v>3</v>
      </c>
      <c r="B19" s="29">
        <v>30000472</v>
      </c>
      <c r="C19" s="93" t="s">
        <v>26</v>
      </c>
      <c r="D19" s="93"/>
      <c r="E19" s="27">
        <v>0.05</v>
      </c>
      <c r="F19" s="57">
        <v>19021900</v>
      </c>
      <c r="G19" s="28"/>
      <c r="H19" s="23">
        <v>761.25</v>
      </c>
      <c r="I19" s="38">
        <f t="shared" si="0"/>
        <v>0</v>
      </c>
      <c r="M19" s="69"/>
      <c r="N19" s="86"/>
      <c r="O19" s="87"/>
      <c r="P19" s="73"/>
      <c r="Q19" s="71"/>
      <c r="R19" s="72"/>
      <c r="S19" s="69"/>
      <c r="T19" s="73"/>
    </row>
    <row r="20" spans="1:20" ht="18" customHeight="1" x14ac:dyDescent="0.2">
      <c r="A20" s="20">
        <v>4</v>
      </c>
      <c r="B20" s="26">
        <v>30000434</v>
      </c>
      <c r="C20" s="93" t="s">
        <v>27</v>
      </c>
      <c r="D20" s="93"/>
      <c r="E20" s="27">
        <v>0.05</v>
      </c>
      <c r="F20" s="57">
        <v>19021900</v>
      </c>
      <c r="G20" s="28"/>
      <c r="H20" s="23">
        <v>315</v>
      </c>
      <c r="I20" s="38">
        <f t="shared" si="0"/>
        <v>0</v>
      </c>
      <c r="M20" s="69"/>
      <c r="N20" s="86"/>
      <c r="O20" s="87"/>
      <c r="P20" s="73"/>
      <c r="Q20" s="71"/>
      <c r="R20" s="72"/>
      <c r="S20" s="69"/>
      <c r="T20" s="73"/>
    </row>
    <row r="21" spans="1:20" ht="18" customHeight="1" x14ac:dyDescent="0.2">
      <c r="A21" s="20">
        <v>5</v>
      </c>
      <c r="B21" s="26">
        <v>30000474</v>
      </c>
      <c r="C21" s="93" t="s">
        <v>28</v>
      </c>
      <c r="D21" s="93"/>
      <c r="E21" s="27">
        <v>0.05</v>
      </c>
      <c r="F21" s="57">
        <v>19021900</v>
      </c>
      <c r="G21" s="28"/>
      <c r="H21" s="23">
        <v>315</v>
      </c>
      <c r="I21" s="38">
        <f t="shared" si="0"/>
        <v>0</v>
      </c>
      <c r="M21" s="69"/>
      <c r="N21" s="86"/>
      <c r="O21" s="87"/>
      <c r="P21" s="73"/>
      <c r="Q21" s="71"/>
      <c r="R21" s="72"/>
      <c r="S21" s="69"/>
      <c r="T21" s="73"/>
    </row>
    <row r="22" spans="1:20" ht="18" customHeight="1" x14ac:dyDescent="0.2">
      <c r="A22" s="20">
        <v>6</v>
      </c>
      <c r="B22" s="26">
        <v>30000502</v>
      </c>
      <c r="C22" s="93" t="s">
        <v>29</v>
      </c>
      <c r="D22" s="93"/>
      <c r="E22" s="27">
        <v>0.05</v>
      </c>
      <c r="F22" s="57">
        <v>19021900</v>
      </c>
      <c r="G22" s="28"/>
      <c r="H22" s="23">
        <v>372.75</v>
      </c>
      <c r="I22" s="38">
        <f t="shared" si="0"/>
        <v>0</v>
      </c>
      <c r="M22" s="69"/>
      <c r="N22" s="86"/>
      <c r="O22" s="87"/>
      <c r="P22" s="73"/>
      <c r="Q22" s="71"/>
      <c r="R22" s="72"/>
      <c r="S22" s="69"/>
      <c r="T22" s="73"/>
    </row>
    <row r="23" spans="1:20" ht="18" customHeight="1" x14ac:dyDescent="0.2">
      <c r="A23" s="20">
        <v>7</v>
      </c>
      <c r="B23" s="26">
        <v>30000508</v>
      </c>
      <c r="C23" s="93" t="s">
        <v>30</v>
      </c>
      <c r="D23" s="93"/>
      <c r="E23" s="27">
        <v>0.05</v>
      </c>
      <c r="F23" s="57">
        <v>19021900</v>
      </c>
      <c r="G23" s="28"/>
      <c r="H23" s="23">
        <v>372.75</v>
      </c>
      <c r="I23" s="38">
        <f t="shared" si="0"/>
        <v>0</v>
      </c>
      <c r="M23" s="69"/>
      <c r="N23" s="86"/>
      <c r="O23" s="87"/>
      <c r="P23" s="73"/>
      <c r="Q23" s="71"/>
      <c r="R23" s="72"/>
      <c r="S23" s="69"/>
      <c r="T23" s="73"/>
    </row>
    <row r="24" spans="1:20" ht="18" customHeight="1" x14ac:dyDescent="0.2">
      <c r="A24" s="20">
        <v>8</v>
      </c>
      <c r="B24" s="30">
        <v>30000511</v>
      </c>
      <c r="C24" s="93" t="s">
        <v>31</v>
      </c>
      <c r="D24" s="93"/>
      <c r="E24" s="27">
        <v>0.05</v>
      </c>
      <c r="F24" s="57">
        <v>19021900</v>
      </c>
      <c r="G24" s="28"/>
      <c r="H24" s="23">
        <v>925.05</v>
      </c>
      <c r="I24" s="38">
        <f t="shared" si="0"/>
        <v>0</v>
      </c>
      <c r="M24" s="69"/>
      <c r="N24" s="86"/>
      <c r="O24" s="87"/>
      <c r="P24" s="73"/>
      <c r="Q24" s="71"/>
      <c r="R24" s="72"/>
      <c r="S24" s="69"/>
      <c r="T24" s="73"/>
    </row>
    <row r="25" spans="1:20" ht="18" customHeight="1" x14ac:dyDescent="0.2">
      <c r="A25" s="20">
        <v>9</v>
      </c>
      <c r="B25" s="30">
        <v>30001069</v>
      </c>
      <c r="C25" s="94" t="s">
        <v>85</v>
      </c>
      <c r="D25" s="94"/>
      <c r="E25" s="27">
        <v>0.05</v>
      </c>
      <c r="F25" s="57">
        <v>19021900</v>
      </c>
      <c r="G25" s="28">
        <v>15</v>
      </c>
      <c r="H25" s="23">
        <v>473.55</v>
      </c>
      <c r="I25" s="38">
        <f t="shared" si="0"/>
        <v>7103.25</v>
      </c>
      <c r="M25" s="69"/>
      <c r="N25" s="86"/>
      <c r="O25" s="87"/>
      <c r="P25" s="73"/>
      <c r="Q25" s="71"/>
      <c r="R25" s="72"/>
      <c r="S25" s="69"/>
      <c r="T25" s="73"/>
    </row>
    <row r="26" spans="1:20" ht="18" customHeight="1" x14ac:dyDescent="0.2">
      <c r="A26" s="20">
        <v>10</v>
      </c>
      <c r="B26" s="26">
        <v>30000192</v>
      </c>
      <c r="C26" s="93" t="s">
        <v>32</v>
      </c>
      <c r="D26" s="93"/>
      <c r="E26" s="27">
        <v>0.05</v>
      </c>
      <c r="F26" s="57">
        <v>19021900</v>
      </c>
      <c r="G26" s="28">
        <v>10</v>
      </c>
      <c r="H26" s="23">
        <v>409.5</v>
      </c>
      <c r="I26" s="38">
        <f t="shared" si="0"/>
        <v>4095</v>
      </c>
      <c r="M26" s="69"/>
      <c r="N26" s="86"/>
      <c r="O26" s="87"/>
      <c r="P26" s="73"/>
      <c r="Q26" s="71"/>
      <c r="R26" s="72"/>
      <c r="S26" s="69"/>
      <c r="T26" s="73"/>
    </row>
    <row r="27" spans="1:20" ht="18" customHeight="1" x14ac:dyDescent="0.2">
      <c r="A27" s="20">
        <v>11</v>
      </c>
      <c r="B27" s="26">
        <v>30000414</v>
      </c>
      <c r="C27" s="93" t="s">
        <v>33</v>
      </c>
      <c r="D27" s="93"/>
      <c r="E27" s="27">
        <v>0.05</v>
      </c>
      <c r="F27" s="57">
        <v>19021900</v>
      </c>
      <c r="G27" s="28"/>
      <c r="H27" s="23">
        <v>409.5</v>
      </c>
      <c r="I27" s="38">
        <f t="shared" si="0"/>
        <v>0</v>
      </c>
      <c r="M27" s="69"/>
      <c r="N27" s="86"/>
      <c r="O27" s="87"/>
      <c r="P27" s="73"/>
      <c r="Q27" s="71"/>
      <c r="R27" s="72"/>
      <c r="S27" s="69"/>
      <c r="T27" s="73"/>
    </row>
    <row r="28" spans="1:20" ht="18" customHeight="1" x14ac:dyDescent="0.2">
      <c r="A28" s="20">
        <v>12</v>
      </c>
      <c r="B28" s="30">
        <v>30000230</v>
      </c>
      <c r="C28" s="94" t="s">
        <v>34</v>
      </c>
      <c r="D28" s="94"/>
      <c r="E28" s="27">
        <v>0.05</v>
      </c>
      <c r="F28" s="57">
        <v>19021900</v>
      </c>
      <c r="G28" s="28"/>
      <c r="H28" s="23">
        <v>829.5</v>
      </c>
      <c r="I28" s="38">
        <f>G28*H28</f>
        <v>0</v>
      </c>
      <c r="M28" s="69"/>
      <c r="N28" s="86"/>
      <c r="O28" s="87"/>
      <c r="P28" s="73"/>
      <c r="Q28" s="71"/>
      <c r="R28" s="72"/>
      <c r="S28" s="69"/>
      <c r="T28" s="73"/>
    </row>
    <row r="29" spans="1:20" ht="18" customHeight="1" x14ac:dyDescent="0.2">
      <c r="A29" s="20">
        <v>13</v>
      </c>
      <c r="B29" s="30">
        <v>30001327</v>
      </c>
      <c r="C29" s="94" t="s">
        <v>100</v>
      </c>
      <c r="D29" s="94"/>
      <c r="E29" s="27">
        <v>0.05</v>
      </c>
      <c r="F29" s="57">
        <v>19021900</v>
      </c>
      <c r="G29" s="28"/>
      <c r="H29" s="23">
        <v>582.75</v>
      </c>
      <c r="I29" s="38">
        <f>G29*H29</f>
        <v>0</v>
      </c>
      <c r="M29" s="69"/>
      <c r="N29" s="86"/>
      <c r="O29" s="87"/>
      <c r="P29" s="73"/>
      <c r="Q29" s="71"/>
      <c r="R29" s="72"/>
      <c r="S29" s="69"/>
      <c r="T29" s="73"/>
    </row>
    <row r="30" spans="1:20" ht="18" customHeight="1" x14ac:dyDescent="0.2">
      <c r="A30" s="20">
        <v>14</v>
      </c>
      <c r="B30" s="26">
        <v>30000488</v>
      </c>
      <c r="C30" s="93" t="s">
        <v>35</v>
      </c>
      <c r="D30" s="93"/>
      <c r="E30" s="27">
        <v>0.05</v>
      </c>
      <c r="F30" s="57">
        <v>19021900</v>
      </c>
      <c r="G30" s="28">
        <v>10</v>
      </c>
      <c r="H30" s="23">
        <v>346.5</v>
      </c>
      <c r="I30" s="38">
        <f>G30*H30</f>
        <v>3465</v>
      </c>
      <c r="M30" s="69"/>
      <c r="N30" s="86"/>
      <c r="O30" s="87"/>
      <c r="P30" s="73"/>
      <c r="Q30" s="71"/>
      <c r="R30" s="72"/>
      <c r="S30" s="69"/>
      <c r="T30" s="73"/>
    </row>
    <row r="31" spans="1:20" ht="18" customHeight="1" x14ac:dyDescent="0.2">
      <c r="A31" s="20">
        <v>15</v>
      </c>
      <c r="B31" s="26">
        <v>30000168</v>
      </c>
      <c r="C31" s="93" t="s">
        <v>36</v>
      </c>
      <c r="D31" s="93"/>
      <c r="E31" s="27">
        <v>0.05</v>
      </c>
      <c r="F31" s="57">
        <v>19021900</v>
      </c>
      <c r="G31" s="28">
        <v>20</v>
      </c>
      <c r="H31" s="23">
        <v>346.5</v>
      </c>
      <c r="I31" s="38">
        <f t="shared" si="0"/>
        <v>6930</v>
      </c>
      <c r="M31" s="69"/>
      <c r="N31" s="86"/>
      <c r="O31" s="87"/>
      <c r="P31" s="73"/>
      <c r="Q31" s="71"/>
      <c r="R31" s="72"/>
      <c r="S31" s="69"/>
      <c r="T31" s="73"/>
    </row>
    <row r="32" spans="1:20" ht="18" customHeight="1" x14ac:dyDescent="0.2">
      <c r="A32" s="20">
        <v>16</v>
      </c>
      <c r="B32" s="26">
        <v>30000129</v>
      </c>
      <c r="C32" s="93" t="s">
        <v>37</v>
      </c>
      <c r="D32" s="93"/>
      <c r="E32" s="27">
        <v>0.05</v>
      </c>
      <c r="F32" s="57">
        <v>19021900</v>
      </c>
      <c r="G32" s="28">
        <v>10</v>
      </c>
      <c r="H32" s="23">
        <v>346.5</v>
      </c>
      <c r="I32" s="38">
        <f t="shared" si="0"/>
        <v>3465</v>
      </c>
      <c r="M32" s="69"/>
      <c r="N32" s="86"/>
      <c r="O32" s="87"/>
      <c r="P32" s="73"/>
      <c r="Q32" s="71"/>
      <c r="R32" s="72"/>
      <c r="S32" s="69"/>
      <c r="T32" s="73"/>
    </row>
    <row r="33" spans="1:20" ht="18" customHeight="1" x14ac:dyDescent="0.2">
      <c r="A33" s="20">
        <v>17</v>
      </c>
      <c r="B33" s="26">
        <v>30000426</v>
      </c>
      <c r="C33" s="93" t="s">
        <v>38</v>
      </c>
      <c r="D33" s="93"/>
      <c r="E33" s="27">
        <v>0.05</v>
      </c>
      <c r="F33" s="57">
        <v>19021900</v>
      </c>
      <c r="G33" s="28">
        <v>10</v>
      </c>
      <c r="H33" s="23">
        <v>378</v>
      </c>
      <c r="I33" s="38">
        <f t="shared" si="0"/>
        <v>3780</v>
      </c>
      <c r="M33" s="69"/>
      <c r="N33" s="86"/>
      <c r="O33" s="87"/>
      <c r="P33" s="73"/>
      <c r="Q33" s="71"/>
      <c r="R33" s="72"/>
      <c r="S33" s="69"/>
      <c r="T33" s="73"/>
    </row>
    <row r="34" spans="1:20" ht="18" customHeight="1" x14ac:dyDescent="0.2">
      <c r="A34" s="20">
        <v>18</v>
      </c>
      <c r="B34" s="26">
        <v>30000418</v>
      </c>
      <c r="C34" s="93" t="s">
        <v>39</v>
      </c>
      <c r="D34" s="93"/>
      <c r="E34" s="27">
        <v>0.05</v>
      </c>
      <c r="F34" s="57">
        <v>19021900</v>
      </c>
      <c r="G34" s="28"/>
      <c r="H34" s="23">
        <v>378</v>
      </c>
      <c r="I34" s="38">
        <f t="shared" si="0"/>
        <v>0</v>
      </c>
      <c r="M34" s="69"/>
      <c r="N34" s="86"/>
      <c r="O34" s="87"/>
      <c r="P34" s="73"/>
      <c r="Q34" s="71"/>
      <c r="R34" s="72"/>
      <c r="S34" s="69"/>
      <c r="T34" s="73"/>
    </row>
    <row r="35" spans="1:20" ht="18" customHeight="1" x14ac:dyDescent="0.2">
      <c r="A35" s="20">
        <v>19</v>
      </c>
      <c r="B35" s="26">
        <v>30000327</v>
      </c>
      <c r="C35" s="93" t="s">
        <v>40</v>
      </c>
      <c r="D35" s="93"/>
      <c r="E35" s="27">
        <v>0.05</v>
      </c>
      <c r="F35" s="57">
        <v>19021900</v>
      </c>
      <c r="G35" s="28">
        <v>10</v>
      </c>
      <c r="H35" s="23">
        <v>504</v>
      </c>
      <c r="I35" s="38">
        <f t="shared" si="0"/>
        <v>5040</v>
      </c>
      <c r="M35" s="69"/>
      <c r="N35" s="86"/>
      <c r="O35" s="87"/>
      <c r="P35" s="73"/>
      <c r="Q35" s="71"/>
      <c r="R35" s="72"/>
      <c r="S35" s="69"/>
      <c r="T35" s="73"/>
    </row>
    <row r="36" spans="1:20" ht="18" customHeight="1" x14ac:dyDescent="0.2">
      <c r="A36" s="20">
        <v>20</v>
      </c>
      <c r="B36" s="26">
        <v>30000335</v>
      </c>
      <c r="C36" s="93" t="s">
        <v>41</v>
      </c>
      <c r="D36" s="93"/>
      <c r="E36" s="27">
        <v>0.05</v>
      </c>
      <c r="F36" s="57">
        <v>19021900</v>
      </c>
      <c r="G36" s="28">
        <v>5</v>
      </c>
      <c r="H36" s="23">
        <v>493.5</v>
      </c>
      <c r="I36" s="38">
        <f t="shared" si="0"/>
        <v>2467.5</v>
      </c>
      <c r="M36" s="69"/>
      <c r="N36" s="86"/>
      <c r="O36" s="87"/>
      <c r="P36" s="73"/>
      <c r="Q36" s="71"/>
      <c r="R36" s="72"/>
      <c r="S36" s="69"/>
      <c r="T36" s="73"/>
    </row>
    <row r="37" spans="1:20" ht="18" customHeight="1" x14ac:dyDescent="0.2">
      <c r="A37" s="20">
        <v>21</v>
      </c>
      <c r="B37" s="31">
        <v>30000954</v>
      </c>
      <c r="C37" s="93" t="s">
        <v>42</v>
      </c>
      <c r="D37" s="93"/>
      <c r="E37" s="27">
        <v>0.05</v>
      </c>
      <c r="F37" s="57">
        <v>19021900</v>
      </c>
      <c r="G37" s="28"/>
      <c r="H37" s="23">
        <v>976.5</v>
      </c>
      <c r="I37" s="38">
        <f t="shared" si="0"/>
        <v>0</v>
      </c>
      <c r="M37" s="69"/>
      <c r="N37" s="86"/>
      <c r="O37" s="87"/>
      <c r="P37" s="73"/>
      <c r="Q37" s="71"/>
      <c r="R37" s="72"/>
      <c r="S37" s="69"/>
      <c r="T37" s="73"/>
    </row>
    <row r="38" spans="1:20" ht="18" customHeight="1" x14ac:dyDescent="0.2">
      <c r="A38" s="20">
        <v>22</v>
      </c>
      <c r="B38" s="31">
        <v>30001494</v>
      </c>
      <c r="C38" s="109" t="s">
        <v>113</v>
      </c>
      <c r="D38" s="109"/>
      <c r="E38" s="27">
        <v>0.05</v>
      </c>
      <c r="F38" s="57">
        <v>190240</v>
      </c>
      <c r="G38" s="28">
        <v>5</v>
      </c>
      <c r="H38" s="68">
        <v>1494.15</v>
      </c>
      <c r="I38" s="38">
        <f t="shared" si="0"/>
        <v>7470.75</v>
      </c>
      <c r="M38" s="69"/>
      <c r="N38" s="86"/>
      <c r="O38" s="87"/>
      <c r="P38" s="73"/>
      <c r="Q38" s="71"/>
      <c r="R38" s="72"/>
      <c r="S38" s="69"/>
      <c r="T38" s="73"/>
    </row>
    <row r="39" spans="1:20" ht="18" customHeight="1" x14ac:dyDescent="0.2">
      <c r="A39" s="20">
        <v>23</v>
      </c>
      <c r="B39" s="30">
        <v>30000640</v>
      </c>
      <c r="C39" s="94" t="s">
        <v>79</v>
      </c>
      <c r="D39" s="94"/>
      <c r="E39" s="27">
        <v>0.05</v>
      </c>
      <c r="F39" s="57">
        <v>19021900</v>
      </c>
      <c r="G39" s="28">
        <v>2</v>
      </c>
      <c r="H39" s="23">
        <v>810.6</v>
      </c>
      <c r="I39" s="38">
        <f t="shared" si="0"/>
        <v>1621.2</v>
      </c>
      <c r="M39" s="69"/>
      <c r="N39" s="86"/>
      <c r="O39" s="87"/>
      <c r="P39" s="73"/>
      <c r="Q39" s="71"/>
      <c r="R39" s="72"/>
      <c r="S39" s="69"/>
      <c r="T39" s="73"/>
    </row>
    <row r="40" spans="1:20" ht="18" customHeight="1" x14ac:dyDescent="0.2">
      <c r="A40" s="20">
        <v>24</v>
      </c>
      <c r="B40" s="30">
        <v>30000281</v>
      </c>
      <c r="C40" s="94" t="s">
        <v>83</v>
      </c>
      <c r="D40" s="94"/>
      <c r="E40" s="27">
        <v>0.05</v>
      </c>
      <c r="F40" s="57">
        <v>19021900</v>
      </c>
      <c r="G40" s="28"/>
      <c r="H40" s="23">
        <v>810.6</v>
      </c>
      <c r="I40" s="38">
        <f t="shared" si="0"/>
        <v>0</v>
      </c>
      <c r="M40" s="69"/>
      <c r="N40" s="86"/>
      <c r="O40" s="87"/>
      <c r="P40" s="73"/>
      <c r="Q40" s="71"/>
      <c r="R40" s="72"/>
      <c r="S40" s="69"/>
      <c r="T40" s="73"/>
    </row>
    <row r="41" spans="1:20" ht="18" customHeight="1" x14ac:dyDescent="0.2">
      <c r="A41" s="20">
        <v>25</v>
      </c>
      <c r="B41" s="30">
        <v>30000638</v>
      </c>
      <c r="C41" s="94" t="s">
        <v>80</v>
      </c>
      <c r="D41" s="94"/>
      <c r="E41" s="27">
        <v>0.05</v>
      </c>
      <c r="F41" s="57">
        <v>19021900</v>
      </c>
      <c r="G41" s="28"/>
      <c r="H41" s="23">
        <v>738.15</v>
      </c>
      <c r="I41" s="38">
        <f t="shared" si="0"/>
        <v>0</v>
      </c>
      <c r="M41" s="69"/>
      <c r="N41" s="86"/>
      <c r="O41" s="87"/>
      <c r="P41" s="73"/>
      <c r="Q41" s="71"/>
      <c r="R41" s="72"/>
      <c r="S41" s="69"/>
      <c r="T41" s="73"/>
    </row>
    <row r="42" spans="1:20" ht="18" customHeight="1" x14ac:dyDescent="0.2">
      <c r="A42" s="20">
        <v>26</v>
      </c>
      <c r="B42" s="26">
        <v>30000115</v>
      </c>
      <c r="C42" s="94" t="s">
        <v>43</v>
      </c>
      <c r="D42" s="94"/>
      <c r="E42" s="27">
        <v>0.05</v>
      </c>
      <c r="F42" s="57">
        <v>11010000</v>
      </c>
      <c r="G42" s="28">
        <v>2</v>
      </c>
      <c r="H42" s="23">
        <v>1159.2</v>
      </c>
      <c r="I42" s="38">
        <f t="shared" si="0"/>
        <v>2318.4</v>
      </c>
      <c r="J42" s="44"/>
      <c r="M42" s="69"/>
      <c r="N42" s="86"/>
      <c r="O42" s="87"/>
      <c r="P42" s="70"/>
      <c r="Q42" s="71"/>
      <c r="R42" s="72"/>
      <c r="S42" s="69"/>
      <c r="T42" s="73"/>
    </row>
    <row r="43" spans="1:20" ht="18" customHeight="1" x14ac:dyDescent="0.2">
      <c r="A43" s="20">
        <v>27</v>
      </c>
      <c r="B43" s="26">
        <v>30000090</v>
      </c>
      <c r="C43" s="93" t="s">
        <v>44</v>
      </c>
      <c r="D43" s="93"/>
      <c r="E43" s="27">
        <v>0.05</v>
      </c>
      <c r="F43" s="57">
        <v>11010000</v>
      </c>
      <c r="G43" s="28"/>
      <c r="H43" s="23">
        <v>1148.7</v>
      </c>
      <c r="I43" s="38">
        <f t="shared" si="0"/>
        <v>0</v>
      </c>
      <c r="J43" s="3"/>
      <c r="M43" s="69"/>
      <c r="N43" s="86"/>
      <c r="O43" s="87"/>
      <c r="P43" s="74"/>
      <c r="Q43" s="71"/>
      <c r="R43" s="72"/>
      <c r="S43" s="69"/>
      <c r="T43" s="73"/>
    </row>
    <row r="44" spans="1:20" ht="18" customHeight="1" x14ac:dyDescent="0.2">
      <c r="A44" s="20">
        <v>28</v>
      </c>
      <c r="B44" s="26">
        <v>30000109</v>
      </c>
      <c r="C44" s="93" t="s">
        <v>45</v>
      </c>
      <c r="D44" s="93"/>
      <c r="E44" s="27">
        <v>0.05</v>
      </c>
      <c r="F44" s="57">
        <v>11010000</v>
      </c>
      <c r="G44" s="28"/>
      <c r="H44" s="23">
        <v>268.8</v>
      </c>
      <c r="I44" s="38">
        <f t="shared" si="0"/>
        <v>0</v>
      </c>
      <c r="M44" s="69"/>
      <c r="N44" s="86"/>
      <c r="O44" s="87"/>
      <c r="P44" s="73"/>
      <c r="Q44" s="71"/>
      <c r="R44" s="72"/>
      <c r="S44" s="69"/>
      <c r="T44" s="73"/>
    </row>
    <row r="45" spans="1:20" ht="18" customHeight="1" x14ac:dyDescent="0.2">
      <c r="A45" s="20">
        <v>29</v>
      </c>
      <c r="B45" s="26">
        <v>30000097</v>
      </c>
      <c r="C45" s="93" t="s">
        <v>46</v>
      </c>
      <c r="D45" s="93"/>
      <c r="E45" s="27">
        <v>0.05</v>
      </c>
      <c r="F45" s="57">
        <v>11010000</v>
      </c>
      <c r="G45" s="28"/>
      <c r="H45" s="23">
        <v>530.25</v>
      </c>
      <c r="I45" s="38">
        <f t="shared" si="0"/>
        <v>0</v>
      </c>
      <c r="M45" s="69"/>
      <c r="N45" s="86"/>
      <c r="O45" s="87"/>
      <c r="P45" s="73"/>
      <c r="Q45" s="71"/>
      <c r="R45" s="72"/>
      <c r="S45" s="69"/>
      <c r="T45" s="73"/>
    </row>
    <row r="46" spans="1:20" ht="18" customHeight="1" x14ac:dyDescent="0.2">
      <c r="A46" s="20">
        <v>30</v>
      </c>
      <c r="B46" s="26">
        <v>30000080</v>
      </c>
      <c r="C46" s="93" t="s">
        <v>47</v>
      </c>
      <c r="D46" s="93"/>
      <c r="E46" s="27">
        <v>0.05</v>
      </c>
      <c r="F46" s="57">
        <v>11010000</v>
      </c>
      <c r="G46" s="28"/>
      <c r="H46" s="23">
        <v>1134</v>
      </c>
      <c r="I46" s="38">
        <f t="shared" si="0"/>
        <v>0</v>
      </c>
      <c r="J46" s="3"/>
      <c r="M46" s="69"/>
      <c r="N46" s="86"/>
      <c r="O46" s="87"/>
      <c r="P46" s="74"/>
      <c r="Q46" s="71"/>
      <c r="R46" s="72"/>
      <c r="S46" s="69"/>
      <c r="T46" s="73"/>
    </row>
    <row r="47" spans="1:20" ht="18" customHeight="1" x14ac:dyDescent="0.2">
      <c r="A47" s="20">
        <v>31</v>
      </c>
      <c r="B47" s="26">
        <v>30000060</v>
      </c>
      <c r="C47" s="93" t="s">
        <v>48</v>
      </c>
      <c r="D47" s="93"/>
      <c r="E47" s="27">
        <v>0.05</v>
      </c>
      <c r="F47" s="57">
        <v>11010000</v>
      </c>
      <c r="G47" s="28"/>
      <c r="H47" s="23">
        <v>1123.5</v>
      </c>
      <c r="I47" s="38">
        <f t="shared" si="0"/>
        <v>0</v>
      </c>
      <c r="M47" s="69"/>
      <c r="N47" s="86"/>
      <c r="O47" s="87"/>
      <c r="P47" s="73"/>
      <c r="Q47" s="71"/>
      <c r="R47" s="72"/>
      <c r="S47" s="69"/>
      <c r="T47" s="73"/>
    </row>
    <row r="48" spans="1:20" ht="18" customHeight="1" x14ac:dyDescent="0.2">
      <c r="A48" s="20">
        <v>32</v>
      </c>
      <c r="B48" s="32">
        <v>30000073</v>
      </c>
      <c r="C48" s="93" t="s">
        <v>49</v>
      </c>
      <c r="D48" s="93"/>
      <c r="E48" s="27">
        <v>0.05</v>
      </c>
      <c r="F48" s="57">
        <v>11010000</v>
      </c>
      <c r="G48" s="28"/>
      <c r="H48" s="23">
        <v>262.5</v>
      </c>
      <c r="I48" s="38">
        <f t="shared" si="0"/>
        <v>0</v>
      </c>
      <c r="M48" s="69"/>
      <c r="N48" s="86"/>
      <c r="O48" s="87"/>
      <c r="P48" s="73"/>
      <c r="Q48" s="71"/>
      <c r="R48" s="72"/>
      <c r="S48" s="69"/>
      <c r="T48" s="73"/>
    </row>
    <row r="49" spans="1:20" ht="18" customHeight="1" x14ac:dyDescent="0.2">
      <c r="A49" s="20">
        <v>33</v>
      </c>
      <c r="B49" s="32">
        <v>30000066</v>
      </c>
      <c r="C49" s="93" t="s">
        <v>50</v>
      </c>
      <c r="D49" s="93"/>
      <c r="E49" s="27">
        <v>0.05</v>
      </c>
      <c r="F49" s="57">
        <v>11010000</v>
      </c>
      <c r="G49" s="28"/>
      <c r="H49" s="23">
        <v>517.65</v>
      </c>
      <c r="I49" s="38">
        <f t="shared" si="0"/>
        <v>0</v>
      </c>
      <c r="M49" s="69"/>
      <c r="N49" s="86"/>
      <c r="O49" s="87"/>
      <c r="P49" s="73"/>
      <c r="Q49" s="71"/>
      <c r="R49" s="72"/>
      <c r="S49" s="69"/>
      <c r="T49" s="73"/>
    </row>
    <row r="50" spans="1:20" ht="18" customHeight="1" x14ac:dyDescent="0.2">
      <c r="A50" s="20">
        <v>34</v>
      </c>
      <c r="B50" s="26">
        <v>30000211</v>
      </c>
      <c r="C50" s="93" t="s">
        <v>51</v>
      </c>
      <c r="D50" s="93"/>
      <c r="E50" s="27">
        <v>0.05</v>
      </c>
      <c r="F50" s="57">
        <v>11010000</v>
      </c>
      <c r="G50" s="28">
        <v>5</v>
      </c>
      <c r="H50" s="23">
        <v>659.4</v>
      </c>
      <c r="I50" s="38">
        <f t="shared" si="0"/>
        <v>3297</v>
      </c>
      <c r="M50" s="69"/>
      <c r="N50" s="86"/>
      <c r="O50" s="87"/>
      <c r="P50" s="73"/>
      <c r="Q50" s="71"/>
      <c r="R50" s="72"/>
      <c r="S50" s="69"/>
      <c r="T50" s="73"/>
    </row>
    <row r="51" spans="1:20" ht="18" customHeight="1" x14ac:dyDescent="0.2">
      <c r="A51" s="20">
        <v>35</v>
      </c>
      <c r="B51" s="26">
        <v>30000220</v>
      </c>
      <c r="C51" s="93" t="s">
        <v>52</v>
      </c>
      <c r="D51" s="93"/>
      <c r="E51" s="27">
        <v>0.05</v>
      </c>
      <c r="F51" s="57">
        <v>11010000</v>
      </c>
      <c r="G51" s="28"/>
      <c r="H51" s="23">
        <v>1233.75</v>
      </c>
      <c r="I51" s="38">
        <f t="shared" si="0"/>
        <v>0</v>
      </c>
      <c r="M51" s="69"/>
      <c r="N51" s="86"/>
      <c r="O51" s="87"/>
      <c r="P51" s="73"/>
      <c r="Q51" s="71"/>
      <c r="R51" s="72"/>
      <c r="S51" s="69"/>
      <c r="T51" s="73"/>
    </row>
    <row r="52" spans="1:20" ht="18" customHeight="1" x14ac:dyDescent="0.2">
      <c r="A52" s="20">
        <v>36</v>
      </c>
      <c r="B52" s="26">
        <v>30000196</v>
      </c>
      <c r="C52" s="93" t="s">
        <v>53</v>
      </c>
      <c r="D52" s="93"/>
      <c r="E52" s="27">
        <v>0.05</v>
      </c>
      <c r="F52" s="57">
        <v>11010000</v>
      </c>
      <c r="G52" s="28"/>
      <c r="H52" s="23">
        <v>1223.25</v>
      </c>
      <c r="I52" s="38">
        <f t="shared" si="0"/>
        <v>0</v>
      </c>
      <c r="M52" s="69"/>
      <c r="N52" s="86"/>
      <c r="O52" s="87"/>
      <c r="P52" s="73"/>
      <c r="Q52" s="71"/>
      <c r="R52" s="72"/>
      <c r="S52" s="69"/>
      <c r="T52" s="73"/>
    </row>
    <row r="53" spans="1:20" ht="18" customHeight="1" x14ac:dyDescent="0.2">
      <c r="A53" s="20">
        <v>37</v>
      </c>
      <c r="B53" s="26">
        <v>30000202</v>
      </c>
      <c r="C53" s="93" t="s">
        <v>54</v>
      </c>
      <c r="D53" s="93"/>
      <c r="E53" s="27">
        <v>0.05</v>
      </c>
      <c r="F53" s="57">
        <v>11010000</v>
      </c>
      <c r="G53" s="28"/>
      <c r="H53" s="23">
        <v>447.3</v>
      </c>
      <c r="I53" s="38">
        <f t="shared" si="0"/>
        <v>0</v>
      </c>
      <c r="M53" s="69"/>
      <c r="N53" s="86"/>
      <c r="O53" s="87"/>
      <c r="P53" s="73"/>
      <c r="Q53" s="71"/>
      <c r="R53" s="72"/>
      <c r="S53" s="69"/>
      <c r="T53" s="73"/>
    </row>
    <row r="54" spans="1:20" ht="18" customHeight="1" x14ac:dyDescent="0.2">
      <c r="A54" s="20">
        <v>38</v>
      </c>
      <c r="B54" s="26">
        <v>30001234</v>
      </c>
      <c r="C54" s="107" t="s">
        <v>95</v>
      </c>
      <c r="D54" s="108"/>
      <c r="E54" s="27">
        <v>0.05</v>
      </c>
      <c r="F54" s="57">
        <v>110311</v>
      </c>
      <c r="G54" s="28"/>
      <c r="H54" s="23">
        <v>712.95</v>
      </c>
      <c r="I54" s="38">
        <f t="shared" si="0"/>
        <v>0</v>
      </c>
      <c r="M54" s="69"/>
      <c r="N54" s="86"/>
      <c r="O54" s="87"/>
      <c r="P54" s="73"/>
      <c r="Q54" s="71"/>
      <c r="R54" s="72"/>
      <c r="S54" s="69"/>
      <c r="T54" s="73"/>
    </row>
    <row r="55" spans="1:20" ht="18" customHeight="1" x14ac:dyDescent="0.2">
      <c r="A55" s="20">
        <v>39</v>
      </c>
      <c r="B55" s="26">
        <v>30001235</v>
      </c>
      <c r="C55" s="107" t="s">
        <v>96</v>
      </c>
      <c r="D55" s="108"/>
      <c r="E55" s="27">
        <v>0.05</v>
      </c>
      <c r="F55" s="57">
        <v>110311</v>
      </c>
      <c r="G55" s="28"/>
      <c r="H55" s="23">
        <v>1359.75</v>
      </c>
      <c r="I55" s="38">
        <f t="shared" si="0"/>
        <v>0</v>
      </c>
      <c r="J55" s="44"/>
      <c r="M55" s="69"/>
      <c r="N55" s="86"/>
      <c r="O55" s="87"/>
      <c r="P55" s="70"/>
      <c r="Q55" s="71"/>
      <c r="R55" s="72"/>
      <c r="S55" s="69"/>
      <c r="T55" s="73"/>
    </row>
    <row r="56" spans="1:20" ht="18" customHeight="1" x14ac:dyDescent="0.2">
      <c r="A56" s="20">
        <v>40</v>
      </c>
      <c r="B56" s="26">
        <v>30001236</v>
      </c>
      <c r="C56" s="107" t="s">
        <v>97</v>
      </c>
      <c r="D56" s="108"/>
      <c r="E56" s="27">
        <v>0.05</v>
      </c>
      <c r="F56" s="57">
        <v>110311</v>
      </c>
      <c r="G56" s="28"/>
      <c r="H56" s="23">
        <v>1349.25</v>
      </c>
      <c r="I56" s="38">
        <f t="shared" si="0"/>
        <v>0</v>
      </c>
      <c r="M56" s="69"/>
      <c r="N56" s="86"/>
      <c r="O56" s="87"/>
      <c r="P56" s="73"/>
      <c r="Q56" s="71"/>
      <c r="R56" s="72"/>
      <c r="S56" s="69"/>
      <c r="T56" s="73"/>
    </row>
    <row r="57" spans="1:20" ht="18" customHeight="1" x14ac:dyDescent="0.2">
      <c r="A57" s="20">
        <v>41</v>
      </c>
      <c r="B57" s="26">
        <v>30000374</v>
      </c>
      <c r="C57" s="93" t="s">
        <v>55</v>
      </c>
      <c r="D57" s="93"/>
      <c r="E57" s="27">
        <v>0.05</v>
      </c>
      <c r="F57" s="57">
        <v>110311</v>
      </c>
      <c r="G57" s="28"/>
      <c r="H57" s="23">
        <v>525</v>
      </c>
      <c r="I57" s="38">
        <f t="shared" si="0"/>
        <v>0</v>
      </c>
      <c r="M57" s="69"/>
      <c r="N57" s="86"/>
      <c r="O57" s="87"/>
      <c r="P57" s="73"/>
      <c r="Q57" s="71"/>
      <c r="R57" s="72"/>
      <c r="S57" s="69"/>
      <c r="T57" s="73"/>
    </row>
    <row r="58" spans="1:20" ht="18" customHeight="1" x14ac:dyDescent="0.2">
      <c r="A58" s="20">
        <v>42</v>
      </c>
      <c r="B58" s="26">
        <v>30000348</v>
      </c>
      <c r="C58" s="93" t="s">
        <v>56</v>
      </c>
      <c r="D58" s="93"/>
      <c r="E58" s="33">
        <v>0.05</v>
      </c>
      <c r="F58" s="57">
        <v>11042900</v>
      </c>
      <c r="G58" s="28"/>
      <c r="H58" s="23">
        <v>1170.75</v>
      </c>
      <c r="I58" s="38">
        <f>G58*H58</f>
        <v>0</v>
      </c>
      <c r="M58" s="69"/>
      <c r="N58" s="86"/>
      <c r="O58" s="87"/>
      <c r="P58" s="73"/>
      <c r="Q58" s="75"/>
      <c r="R58" s="72"/>
      <c r="S58" s="69"/>
      <c r="T58" s="73"/>
    </row>
    <row r="59" spans="1:20" ht="18" customHeight="1" x14ac:dyDescent="0.2">
      <c r="A59" s="20">
        <v>43</v>
      </c>
      <c r="B59" s="26">
        <v>30000357</v>
      </c>
      <c r="C59" s="93" t="s">
        <v>57</v>
      </c>
      <c r="D59" s="93"/>
      <c r="E59" s="27">
        <v>0.05</v>
      </c>
      <c r="F59" s="57">
        <v>11042900</v>
      </c>
      <c r="G59" s="28"/>
      <c r="H59" s="23">
        <v>2310</v>
      </c>
      <c r="I59" s="38">
        <f t="shared" si="0"/>
        <v>0</v>
      </c>
      <c r="M59" s="69"/>
      <c r="N59" s="86"/>
      <c r="O59" s="87"/>
      <c r="P59" s="73"/>
      <c r="Q59" s="71"/>
      <c r="R59" s="72"/>
      <c r="S59" s="69"/>
      <c r="T59" s="73"/>
    </row>
    <row r="60" spans="1:20" ht="18" customHeight="1" x14ac:dyDescent="0.2">
      <c r="A60" s="20">
        <v>44</v>
      </c>
      <c r="B60" s="34">
        <v>30000287</v>
      </c>
      <c r="C60" s="93" t="s">
        <v>58</v>
      </c>
      <c r="D60" s="93"/>
      <c r="E60" s="27">
        <v>0.05</v>
      </c>
      <c r="F60" s="57">
        <v>110290</v>
      </c>
      <c r="G60" s="28">
        <v>5</v>
      </c>
      <c r="H60" s="23">
        <v>1323</v>
      </c>
      <c r="I60" s="38">
        <f t="shared" si="0"/>
        <v>6615</v>
      </c>
      <c r="M60" s="69"/>
      <c r="N60" s="86"/>
      <c r="O60" s="87"/>
      <c r="P60" s="73"/>
      <c r="Q60" s="71"/>
      <c r="R60" s="72"/>
      <c r="S60" s="69"/>
      <c r="T60" s="73"/>
    </row>
    <row r="61" spans="1:20" ht="18" customHeight="1" x14ac:dyDescent="0.2">
      <c r="A61" s="20">
        <v>45</v>
      </c>
      <c r="B61" s="26">
        <v>30000316</v>
      </c>
      <c r="C61" s="94" t="s">
        <v>59</v>
      </c>
      <c r="D61" s="94"/>
      <c r="E61" s="27">
        <v>0.05</v>
      </c>
      <c r="F61" s="57">
        <v>110290</v>
      </c>
      <c r="G61" s="28">
        <v>5</v>
      </c>
      <c r="H61" s="23">
        <v>1123.5</v>
      </c>
      <c r="I61" s="38">
        <f t="shared" si="0"/>
        <v>5617.5</v>
      </c>
      <c r="M61" s="69"/>
      <c r="N61" s="86"/>
      <c r="O61" s="87"/>
      <c r="P61" s="73"/>
      <c r="Q61" s="71"/>
      <c r="R61" s="72"/>
      <c r="S61" s="69"/>
      <c r="T61" s="73"/>
    </row>
    <row r="62" spans="1:20" ht="18" customHeight="1" x14ac:dyDescent="0.2">
      <c r="A62" s="20">
        <v>46</v>
      </c>
      <c r="B62" s="26">
        <v>30000310</v>
      </c>
      <c r="C62" s="93" t="s">
        <v>60</v>
      </c>
      <c r="D62" s="93"/>
      <c r="E62" s="27">
        <v>0.05</v>
      </c>
      <c r="F62" s="57">
        <v>11029090</v>
      </c>
      <c r="G62" s="28"/>
      <c r="H62" s="23">
        <v>533.4</v>
      </c>
      <c r="I62" s="38">
        <f t="shared" si="0"/>
        <v>0</v>
      </c>
      <c r="M62" s="69"/>
      <c r="N62" s="86"/>
      <c r="O62" s="87"/>
      <c r="P62" s="73"/>
      <c r="Q62" s="71"/>
      <c r="R62" s="72"/>
      <c r="S62" s="69"/>
      <c r="T62" s="73"/>
    </row>
    <row r="63" spans="1:20" ht="18" customHeight="1" x14ac:dyDescent="0.2">
      <c r="A63" s="20">
        <v>47</v>
      </c>
      <c r="B63" s="26">
        <v>30001242</v>
      </c>
      <c r="C63" s="94" t="s">
        <v>94</v>
      </c>
      <c r="D63" s="94"/>
      <c r="E63" s="27">
        <v>0.05</v>
      </c>
      <c r="F63" s="57">
        <v>110290</v>
      </c>
      <c r="G63" s="28"/>
      <c r="H63" s="23">
        <v>1197</v>
      </c>
      <c r="I63" s="38">
        <f t="shared" ref="I63" si="1">G63*H63</f>
        <v>0</v>
      </c>
      <c r="M63" s="69"/>
      <c r="N63" s="86"/>
      <c r="O63" s="87"/>
      <c r="P63" s="73"/>
      <c r="Q63" s="71"/>
      <c r="R63" s="72"/>
      <c r="S63" s="69"/>
      <c r="T63" s="73"/>
    </row>
    <row r="64" spans="1:20" ht="18" customHeight="1" x14ac:dyDescent="0.2">
      <c r="A64" s="20">
        <v>48</v>
      </c>
      <c r="B64" s="26">
        <v>30000409</v>
      </c>
      <c r="C64" s="93" t="s">
        <v>61</v>
      </c>
      <c r="D64" s="93"/>
      <c r="E64" s="27">
        <v>0.05</v>
      </c>
      <c r="F64" s="57">
        <v>110290</v>
      </c>
      <c r="G64" s="28">
        <v>5</v>
      </c>
      <c r="H64" s="23">
        <v>682.5</v>
      </c>
      <c r="I64" s="38">
        <f t="shared" si="0"/>
        <v>3412.5</v>
      </c>
      <c r="M64" s="69"/>
      <c r="N64" s="86"/>
      <c r="O64" s="87"/>
      <c r="P64" s="73"/>
      <c r="Q64" s="71"/>
      <c r="R64" s="72"/>
      <c r="S64" s="69"/>
      <c r="T64" s="73"/>
    </row>
    <row r="65" spans="1:20" ht="18" customHeight="1" x14ac:dyDescent="0.2">
      <c r="A65" s="20">
        <v>49</v>
      </c>
      <c r="B65" s="26">
        <v>30000238</v>
      </c>
      <c r="C65" s="93" t="s">
        <v>62</v>
      </c>
      <c r="D65" s="93"/>
      <c r="E65" s="27">
        <v>0.05</v>
      </c>
      <c r="F65" s="57">
        <v>110290</v>
      </c>
      <c r="G65" s="28"/>
      <c r="H65" s="23">
        <v>719.25</v>
      </c>
      <c r="I65" s="38">
        <f t="shared" si="0"/>
        <v>0</v>
      </c>
      <c r="M65" s="69"/>
      <c r="N65" s="86"/>
      <c r="O65" s="87"/>
      <c r="P65" s="73"/>
      <c r="Q65" s="71"/>
      <c r="R65" s="72"/>
      <c r="S65" s="69"/>
      <c r="T65" s="73"/>
    </row>
    <row r="66" spans="1:20" ht="18" customHeight="1" x14ac:dyDescent="0.2">
      <c r="A66" s="20">
        <v>50</v>
      </c>
      <c r="B66" s="26">
        <v>30001239</v>
      </c>
      <c r="C66" s="94" t="s">
        <v>93</v>
      </c>
      <c r="D66" s="94"/>
      <c r="E66" s="27">
        <v>0.05</v>
      </c>
      <c r="F66" s="57">
        <v>110290</v>
      </c>
      <c r="G66" s="28"/>
      <c r="H66" s="23">
        <v>1858.5</v>
      </c>
      <c r="I66" s="38">
        <f>G66*H66</f>
        <v>0</v>
      </c>
      <c r="M66" s="69"/>
      <c r="N66" s="86"/>
      <c r="O66" s="87"/>
      <c r="P66" s="73"/>
      <c r="Q66" s="71"/>
      <c r="R66" s="72"/>
      <c r="S66" s="69"/>
      <c r="T66" s="73"/>
    </row>
    <row r="67" spans="1:20" ht="18" customHeight="1" x14ac:dyDescent="0.2">
      <c r="A67" s="20">
        <v>51</v>
      </c>
      <c r="B67" s="29">
        <v>30001080</v>
      </c>
      <c r="C67" s="94" t="s">
        <v>91</v>
      </c>
      <c r="D67" s="94"/>
      <c r="E67" s="27">
        <v>0.05</v>
      </c>
      <c r="F67" s="57">
        <v>19054000</v>
      </c>
      <c r="G67" s="28"/>
      <c r="H67" s="23">
        <v>383.25</v>
      </c>
      <c r="I67" s="38">
        <f t="shared" si="0"/>
        <v>0</v>
      </c>
      <c r="M67" s="69"/>
      <c r="N67" s="86"/>
      <c r="O67" s="87"/>
      <c r="P67" s="73"/>
      <c r="Q67" s="71"/>
      <c r="R67" s="72"/>
      <c r="S67" s="69"/>
      <c r="T67" s="73"/>
    </row>
    <row r="68" spans="1:20" ht="18" customHeight="1" x14ac:dyDescent="0.2">
      <c r="A68" s="20">
        <v>52</v>
      </c>
      <c r="B68" s="29">
        <v>30001275</v>
      </c>
      <c r="C68" s="94" t="s">
        <v>98</v>
      </c>
      <c r="D68" s="94"/>
      <c r="E68" s="27">
        <v>0.05</v>
      </c>
      <c r="F68" s="57">
        <v>11042900</v>
      </c>
      <c r="G68" s="28"/>
      <c r="H68" s="23">
        <v>945</v>
      </c>
      <c r="I68" s="38">
        <f>G68*H68</f>
        <v>0</v>
      </c>
      <c r="M68" s="69"/>
      <c r="N68" s="86"/>
      <c r="O68" s="87"/>
      <c r="P68" s="73"/>
      <c r="Q68" s="71"/>
      <c r="R68" s="72"/>
      <c r="S68" s="69"/>
      <c r="T68" s="73"/>
    </row>
    <row r="69" spans="1:20" ht="18" customHeight="1" x14ac:dyDescent="0.2">
      <c r="A69" s="20">
        <v>53</v>
      </c>
      <c r="B69" s="31">
        <v>30001296</v>
      </c>
      <c r="C69" s="90" t="s">
        <v>101</v>
      </c>
      <c r="D69" s="91"/>
      <c r="E69" s="27">
        <v>0.05</v>
      </c>
      <c r="F69" s="57">
        <v>210690</v>
      </c>
      <c r="G69" s="28">
        <v>2</v>
      </c>
      <c r="H69" s="23">
        <v>945</v>
      </c>
      <c r="I69" s="38">
        <f t="shared" si="0"/>
        <v>1890</v>
      </c>
      <c r="M69" s="69"/>
      <c r="N69" s="86"/>
      <c r="O69" s="87"/>
      <c r="P69" s="73"/>
      <c r="Q69" s="71"/>
      <c r="R69" s="72"/>
      <c r="S69" s="69"/>
      <c r="T69" s="73"/>
    </row>
    <row r="70" spans="1:20" ht="18" customHeight="1" x14ac:dyDescent="0.2">
      <c r="A70" s="20">
        <v>54</v>
      </c>
      <c r="B70" s="31">
        <v>30001297</v>
      </c>
      <c r="C70" s="90" t="s">
        <v>102</v>
      </c>
      <c r="D70" s="91"/>
      <c r="E70" s="27">
        <v>0.05</v>
      </c>
      <c r="F70" s="57">
        <v>210690</v>
      </c>
      <c r="G70" s="28">
        <v>2</v>
      </c>
      <c r="H70" s="23">
        <v>787.5</v>
      </c>
      <c r="I70" s="38">
        <f t="shared" si="0"/>
        <v>1575</v>
      </c>
      <c r="M70" s="69"/>
      <c r="N70" s="86"/>
      <c r="O70" s="87"/>
      <c r="P70" s="73"/>
      <c r="Q70" s="71"/>
      <c r="R70" s="72"/>
      <c r="S70" s="69"/>
      <c r="T70" s="73"/>
    </row>
    <row r="71" spans="1:20" ht="18" customHeight="1" x14ac:dyDescent="0.2">
      <c r="A71" s="20">
        <v>55</v>
      </c>
      <c r="B71" s="31">
        <v>30001299</v>
      </c>
      <c r="C71" s="90" t="s">
        <v>103</v>
      </c>
      <c r="D71" s="91"/>
      <c r="E71" s="27">
        <v>0.05</v>
      </c>
      <c r="F71" s="57">
        <v>210690</v>
      </c>
      <c r="G71" s="28">
        <v>2</v>
      </c>
      <c r="H71" s="23">
        <v>945</v>
      </c>
      <c r="I71" s="38">
        <f t="shared" si="0"/>
        <v>1890</v>
      </c>
      <c r="M71" s="69"/>
      <c r="N71" s="86"/>
      <c r="O71" s="87"/>
      <c r="P71" s="73"/>
      <c r="Q71" s="71"/>
      <c r="R71" s="72"/>
      <c r="S71" s="69"/>
      <c r="T71" s="73"/>
    </row>
    <row r="72" spans="1:20" ht="18" customHeight="1" x14ac:dyDescent="0.2">
      <c r="A72" s="20">
        <v>56</v>
      </c>
      <c r="B72" s="31">
        <v>30001300</v>
      </c>
      <c r="C72" s="90" t="s">
        <v>104</v>
      </c>
      <c r="D72" s="91"/>
      <c r="E72" s="27">
        <v>0.05</v>
      </c>
      <c r="F72" s="57">
        <v>210690</v>
      </c>
      <c r="G72" s="28">
        <v>1</v>
      </c>
      <c r="H72" s="23">
        <v>1155</v>
      </c>
      <c r="I72" s="38">
        <f t="shared" si="0"/>
        <v>1155</v>
      </c>
      <c r="M72" s="69"/>
      <c r="N72" s="86"/>
      <c r="O72" s="87"/>
      <c r="P72" s="73"/>
      <c r="Q72" s="71"/>
      <c r="R72" s="72"/>
      <c r="S72" s="69"/>
      <c r="T72" s="73"/>
    </row>
    <row r="73" spans="1:20" ht="18" customHeight="1" x14ac:dyDescent="0.2">
      <c r="A73" s="20">
        <v>57</v>
      </c>
      <c r="B73" s="31">
        <v>30001301</v>
      </c>
      <c r="C73" s="90" t="s">
        <v>105</v>
      </c>
      <c r="D73" s="91"/>
      <c r="E73" s="27">
        <v>0.05</v>
      </c>
      <c r="F73" s="57">
        <v>210690</v>
      </c>
      <c r="G73" s="28">
        <v>1</v>
      </c>
      <c r="H73" s="23">
        <v>1155</v>
      </c>
      <c r="I73" s="38">
        <f t="shared" si="0"/>
        <v>1155</v>
      </c>
      <c r="M73" s="69"/>
      <c r="N73" s="86"/>
      <c r="O73" s="87"/>
      <c r="P73" s="73"/>
      <c r="Q73" s="71"/>
      <c r="R73" s="72"/>
      <c r="S73" s="69"/>
      <c r="T73" s="73"/>
    </row>
    <row r="74" spans="1:20" ht="18" customHeight="1" x14ac:dyDescent="0.2">
      <c r="A74" s="20">
        <v>58</v>
      </c>
      <c r="B74" s="61">
        <v>30001486</v>
      </c>
      <c r="C74" s="90" t="s">
        <v>112</v>
      </c>
      <c r="D74" s="91"/>
      <c r="E74" s="27">
        <v>0.05</v>
      </c>
      <c r="F74" s="57">
        <v>210690</v>
      </c>
      <c r="G74" s="28"/>
      <c r="H74" s="23">
        <v>1218</v>
      </c>
      <c r="I74" s="38">
        <f t="shared" si="0"/>
        <v>0</v>
      </c>
      <c r="M74" s="69"/>
      <c r="N74" s="86"/>
      <c r="O74" s="87"/>
      <c r="P74" s="73"/>
      <c r="Q74" s="71"/>
      <c r="R74" s="72"/>
      <c r="S74" s="69"/>
      <c r="T74" s="73"/>
    </row>
    <row r="75" spans="1:20" ht="18" customHeight="1" x14ac:dyDescent="0.2">
      <c r="A75" s="20">
        <v>59</v>
      </c>
      <c r="B75" s="31">
        <v>30001302</v>
      </c>
      <c r="C75" s="90" t="s">
        <v>106</v>
      </c>
      <c r="D75" s="91"/>
      <c r="E75" s="27">
        <v>0.05</v>
      </c>
      <c r="F75" s="57">
        <v>210690</v>
      </c>
      <c r="G75" s="28"/>
      <c r="H75" s="23">
        <v>1218</v>
      </c>
      <c r="I75" s="38">
        <f t="shared" si="0"/>
        <v>0</v>
      </c>
      <c r="M75" s="69"/>
      <c r="N75" s="86"/>
      <c r="O75" s="87"/>
      <c r="P75" s="73"/>
      <c r="Q75" s="71"/>
      <c r="R75" s="72"/>
      <c r="S75" s="69"/>
      <c r="T75" s="73"/>
    </row>
    <row r="76" spans="1:20" ht="18" customHeight="1" x14ac:dyDescent="0.2">
      <c r="A76" s="20">
        <v>60</v>
      </c>
      <c r="B76" s="31">
        <v>30001466</v>
      </c>
      <c r="C76" s="90" t="s">
        <v>107</v>
      </c>
      <c r="D76" s="91" t="s">
        <v>107</v>
      </c>
      <c r="E76" s="27">
        <v>0.05</v>
      </c>
      <c r="F76" s="57">
        <v>19023010</v>
      </c>
      <c r="G76" s="28"/>
      <c r="H76" s="23">
        <v>987</v>
      </c>
      <c r="I76" s="38">
        <f t="shared" ref="I76:I103" si="2">G76*H76</f>
        <v>0</v>
      </c>
      <c r="M76" s="69"/>
      <c r="N76" s="86"/>
      <c r="O76" s="87"/>
      <c r="P76" s="73"/>
      <c r="Q76" s="71"/>
      <c r="R76" s="72"/>
      <c r="S76" s="69"/>
      <c r="T76" s="73"/>
    </row>
    <row r="77" spans="1:20" ht="18" customHeight="1" x14ac:dyDescent="0.2">
      <c r="A77" s="20">
        <v>61</v>
      </c>
      <c r="B77" s="31">
        <v>30001467</v>
      </c>
      <c r="C77" s="90" t="s">
        <v>108</v>
      </c>
      <c r="D77" s="91" t="s">
        <v>108</v>
      </c>
      <c r="E77" s="27">
        <v>0.05</v>
      </c>
      <c r="F77" s="57">
        <v>19023010</v>
      </c>
      <c r="G77" s="28">
        <v>10</v>
      </c>
      <c r="H77" s="23">
        <v>987</v>
      </c>
      <c r="I77" s="38">
        <f t="shared" si="2"/>
        <v>9870</v>
      </c>
      <c r="M77" s="69"/>
      <c r="N77" s="86"/>
      <c r="O77" s="87"/>
      <c r="P77" s="73"/>
      <c r="Q77" s="71"/>
      <c r="R77" s="72"/>
      <c r="S77" s="69"/>
      <c r="T77" s="73"/>
    </row>
    <row r="78" spans="1:20" ht="18" customHeight="1" x14ac:dyDescent="0.2">
      <c r="A78" s="20">
        <v>62</v>
      </c>
      <c r="B78" s="31">
        <v>30001468</v>
      </c>
      <c r="C78" s="90" t="s">
        <v>109</v>
      </c>
      <c r="D78" s="91" t="s">
        <v>109</v>
      </c>
      <c r="E78" s="27">
        <v>0.05</v>
      </c>
      <c r="F78" s="57">
        <v>19023010</v>
      </c>
      <c r="G78" s="28"/>
      <c r="H78" s="23">
        <v>987</v>
      </c>
      <c r="I78" s="38">
        <f t="shared" si="2"/>
        <v>0</v>
      </c>
      <c r="M78" s="69"/>
      <c r="N78" s="86"/>
      <c r="O78" s="87"/>
      <c r="P78" s="73"/>
      <c r="Q78" s="71"/>
      <c r="R78" s="72"/>
      <c r="S78" s="69"/>
      <c r="T78" s="73"/>
    </row>
    <row r="79" spans="1:20" ht="18" customHeight="1" x14ac:dyDescent="0.2">
      <c r="A79" s="20">
        <v>63</v>
      </c>
      <c r="B79" s="31">
        <v>30001469</v>
      </c>
      <c r="C79" s="90" t="s">
        <v>110</v>
      </c>
      <c r="D79" s="91" t="s">
        <v>110</v>
      </c>
      <c r="E79" s="27">
        <v>0.05</v>
      </c>
      <c r="F79" s="57">
        <v>19023010</v>
      </c>
      <c r="G79" s="28"/>
      <c r="H79" s="23">
        <v>987</v>
      </c>
      <c r="I79" s="38">
        <f t="shared" si="2"/>
        <v>0</v>
      </c>
      <c r="M79" s="69"/>
      <c r="N79" s="86"/>
      <c r="O79" s="87"/>
      <c r="P79" s="73"/>
      <c r="Q79" s="71"/>
      <c r="R79" s="72"/>
      <c r="S79" s="69"/>
      <c r="T79" s="73"/>
    </row>
    <row r="80" spans="1:20" ht="18" customHeight="1" x14ac:dyDescent="0.2">
      <c r="A80" s="20">
        <v>64</v>
      </c>
      <c r="B80" s="30">
        <v>30000622</v>
      </c>
      <c r="C80" s="94" t="s">
        <v>63</v>
      </c>
      <c r="D80" s="94"/>
      <c r="E80" s="27">
        <v>0.05</v>
      </c>
      <c r="F80" s="57">
        <v>19023010</v>
      </c>
      <c r="G80" s="28">
        <v>10</v>
      </c>
      <c r="H80" s="23">
        <v>672</v>
      </c>
      <c r="I80" s="38">
        <f t="shared" si="2"/>
        <v>6720</v>
      </c>
      <c r="M80" s="69"/>
      <c r="N80" s="86"/>
      <c r="O80" s="87"/>
      <c r="P80" s="73"/>
      <c r="Q80" s="71"/>
      <c r="R80" s="72"/>
      <c r="S80" s="69"/>
      <c r="T80" s="73"/>
    </row>
    <row r="81" spans="1:20" ht="18" customHeight="1" x14ac:dyDescent="0.2">
      <c r="A81" s="20">
        <v>65</v>
      </c>
      <c r="B81" s="26">
        <v>30000624</v>
      </c>
      <c r="C81" s="93" t="s">
        <v>64</v>
      </c>
      <c r="D81" s="93"/>
      <c r="E81" s="27">
        <v>0.05</v>
      </c>
      <c r="F81" s="57">
        <v>19023010</v>
      </c>
      <c r="G81" s="28"/>
      <c r="H81" s="23">
        <v>441</v>
      </c>
      <c r="I81" s="38">
        <f t="shared" si="2"/>
        <v>0</v>
      </c>
      <c r="M81" s="69"/>
      <c r="N81" s="86"/>
      <c r="O81" s="87"/>
      <c r="P81" s="73"/>
      <c r="Q81" s="71"/>
      <c r="R81" s="72"/>
      <c r="S81" s="69"/>
      <c r="T81" s="73"/>
    </row>
    <row r="82" spans="1:20" ht="18" customHeight="1" x14ac:dyDescent="0.2">
      <c r="A82" s="20">
        <v>66</v>
      </c>
      <c r="B82" s="26">
        <v>30000626</v>
      </c>
      <c r="C82" s="93" t="s">
        <v>65</v>
      </c>
      <c r="D82" s="93"/>
      <c r="E82" s="27">
        <v>0.05</v>
      </c>
      <c r="F82" s="57">
        <v>19023010</v>
      </c>
      <c r="G82" s="28"/>
      <c r="H82" s="23">
        <v>441</v>
      </c>
      <c r="I82" s="38">
        <f t="shared" si="2"/>
        <v>0</v>
      </c>
      <c r="M82" s="69"/>
      <c r="N82" s="86"/>
      <c r="O82" s="87"/>
      <c r="P82" s="73"/>
      <c r="Q82" s="71"/>
      <c r="R82" s="72"/>
      <c r="S82" s="69"/>
      <c r="T82" s="73"/>
    </row>
    <row r="83" spans="1:20" ht="18" customHeight="1" x14ac:dyDescent="0.2">
      <c r="A83" s="20">
        <v>67</v>
      </c>
      <c r="B83" s="62">
        <v>30000679</v>
      </c>
      <c r="C83" s="96" t="s">
        <v>84</v>
      </c>
      <c r="D83" s="96"/>
      <c r="E83" s="63">
        <v>0.05</v>
      </c>
      <c r="F83" s="59">
        <v>19023010</v>
      </c>
      <c r="G83" s="64"/>
      <c r="H83" s="60">
        <v>672</v>
      </c>
      <c r="I83" s="65">
        <f>G83*H83</f>
        <v>0</v>
      </c>
      <c r="M83" s="76"/>
      <c r="N83" s="86"/>
      <c r="O83" s="87"/>
      <c r="P83" s="73"/>
      <c r="Q83" s="71"/>
      <c r="R83" s="72"/>
      <c r="S83" s="76"/>
      <c r="T83" s="73"/>
    </row>
    <row r="84" spans="1:20" ht="18" customHeight="1" thickBot="1" x14ac:dyDescent="0.25">
      <c r="A84" s="21">
        <v>68</v>
      </c>
      <c r="B84" s="66">
        <v>30001455</v>
      </c>
      <c r="C84" s="89" t="s">
        <v>111</v>
      </c>
      <c r="D84" s="89"/>
      <c r="E84" s="55">
        <v>0.05</v>
      </c>
      <c r="F84" s="58">
        <v>19023010</v>
      </c>
      <c r="G84" s="67"/>
      <c r="H84" s="40">
        <v>441</v>
      </c>
      <c r="I84" s="41">
        <f>G84*H84</f>
        <v>0</v>
      </c>
      <c r="M84" s="76"/>
      <c r="N84" s="86"/>
      <c r="O84" s="87"/>
      <c r="P84" s="73"/>
      <c r="Q84" s="71"/>
      <c r="R84" s="72"/>
      <c r="S84" s="76"/>
      <c r="T84" s="73"/>
    </row>
    <row r="85" spans="1:20" ht="18" customHeight="1" x14ac:dyDescent="0.2">
      <c r="A85" s="19">
        <v>69</v>
      </c>
      <c r="B85" s="24">
        <v>30001090</v>
      </c>
      <c r="C85" s="92" t="s">
        <v>87</v>
      </c>
      <c r="D85" s="92"/>
      <c r="E85" s="54">
        <v>0</v>
      </c>
      <c r="F85" s="56">
        <v>11010000</v>
      </c>
      <c r="G85" s="25"/>
      <c r="H85" s="53">
        <v>1376</v>
      </c>
      <c r="I85" s="42">
        <f>G85*H85</f>
        <v>0</v>
      </c>
      <c r="M85" s="69"/>
      <c r="N85" s="86"/>
      <c r="O85" s="87"/>
      <c r="P85" s="73"/>
      <c r="Q85" s="77"/>
      <c r="R85" s="72"/>
      <c r="S85" s="69"/>
      <c r="T85" s="73"/>
    </row>
    <row r="86" spans="1:20" ht="18" customHeight="1" x14ac:dyDescent="0.2">
      <c r="A86" s="20">
        <v>70</v>
      </c>
      <c r="B86" s="32">
        <v>30001087</v>
      </c>
      <c r="C86" s="93" t="s">
        <v>88</v>
      </c>
      <c r="D86" s="93"/>
      <c r="E86" s="37">
        <v>0</v>
      </c>
      <c r="F86" s="57">
        <v>11010000</v>
      </c>
      <c r="G86" s="28"/>
      <c r="H86" s="23">
        <v>1340</v>
      </c>
      <c r="I86" s="38">
        <f t="shared" si="2"/>
        <v>0</v>
      </c>
      <c r="M86" s="69"/>
      <c r="N86" s="86"/>
      <c r="O86" s="87"/>
      <c r="P86" s="73"/>
      <c r="Q86" s="77"/>
      <c r="R86" s="72"/>
      <c r="S86" s="69"/>
      <c r="T86" s="73"/>
    </row>
    <row r="87" spans="1:20" ht="18" customHeight="1" x14ac:dyDescent="0.2">
      <c r="A87" s="20">
        <v>71</v>
      </c>
      <c r="B87" s="26">
        <v>30001088</v>
      </c>
      <c r="C87" s="93" t="s">
        <v>89</v>
      </c>
      <c r="D87" s="93"/>
      <c r="E87" s="37">
        <v>0</v>
      </c>
      <c r="F87" s="57">
        <v>11010000</v>
      </c>
      <c r="G87" s="28"/>
      <c r="H87" s="23">
        <v>1250</v>
      </c>
      <c r="I87" s="38">
        <f t="shared" si="2"/>
        <v>0</v>
      </c>
      <c r="M87" s="69"/>
      <c r="N87" s="86"/>
      <c r="O87" s="87"/>
      <c r="P87" s="73"/>
      <c r="Q87" s="77"/>
      <c r="R87" s="72"/>
      <c r="S87" s="69"/>
      <c r="T87" s="73"/>
    </row>
    <row r="88" spans="1:20" ht="18" customHeight="1" x14ac:dyDescent="0.2">
      <c r="A88" s="20">
        <v>72</v>
      </c>
      <c r="B88" s="26">
        <v>30001089</v>
      </c>
      <c r="C88" s="93" t="s">
        <v>90</v>
      </c>
      <c r="D88" s="93"/>
      <c r="E88" s="37">
        <v>0</v>
      </c>
      <c r="F88" s="57">
        <v>110311</v>
      </c>
      <c r="G88" s="28"/>
      <c r="H88" s="23">
        <v>1355</v>
      </c>
      <c r="I88" s="38">
        <f t="shared" si="2"/>
        <v>0</v>
      </c>
      <c r="M88" s="69"/>
      <c r="N88" s="86"/>
      <c r="O88" s="87"/>
      <c r="P88" s="73"/>
      <c r="Q88" s="77"/>
      <c r="R88" s="72"/>
      <c r="S88" s="69"/>
      <c r="T88" s="73"/>
    </row>
    <row r="89" spans="1:20" ht="18" customHeight="1" x14ac:dyDescent="0.2">
      <c r="A89" s="20">
        <v>73</v>
      </c>
      <c r="B89" s="26">
        <v>30000055</v>
      </c>
      <c r="C89" s="93" t="s">
        <v>66</v>
      </c>
      <c r="D89" s="93"/>
      <c r="E89" s="37">
        <v>0</v>
      </c>
      <c r="F89" s="57">
        <v>190590</v>
      </c>
      <c r="G89" s="28"/>
      <c r="H89" s="23">
        <v>2228</v>
      </c>
      <c r="I89" s="38">
        <f>G89*H89</f>
        <v>0</v>
      </c>
      <c r="M89" s="69"/>
      <c r="N89" s="86"/>
      <c r="O89" s="87"/>
      <c r="P89" s="73"/>
      <c r="Q89" s="77"/>
      <c r="R89" s="72"/>
      <c r="S89" s="69"/>
      <c r="T89" s="73"/>
    </row>
    <row r="90" spans="1:20" ht="18" customHeight="1" x14ac:dyDescent="0.2">
      <c r="A90" s="20">
        <v>74</v>
      </c>
      <c r="B90" s="22">
        <v>30000033</v>
      </c>
      <c r="C90" s="100" t="s">
        <v>67</v>
      </c>
      <c r="D90" s="100"/>
      <c r="E90" s="16">
        <v>0</v>
      </c>
      <c r="F90" s="57">
        <v>190590</v>
      </c>
      <c r="G90" s="15"/>
      <c r="H90" s="23">
        <v>2700</v>
      </c>
      <c r="I90" s="38">
        <f t="shared" si="2"/>
        <v>0</v>
      </c>
      <c r="M90" s="78"/>
      <c r="N90" s="86"/>
      <c r="O90" s="87"/>
      <c r="P90" s="73"/>
      <c r="Q90" s="79"/>
      <c r="R90" s="72"/>
      <c r="S90" s="78"/>
      <c r="T90" s="73"/>
    </row>
    <row r="91" spans="1:20" ht="18" customHeight="1" x14ac:dyDescent="0.2">
      <c r="A91" s="20">
        <v>75</v>
      </c>
      <c r="B91" s="22">
        <v>30000013</v>
      </c>
      <c r="C91" s="100" t="s">
        <v>68</v>
      </c>
      <c r="D91" s="100"/>
      <c r="E91" s="16">
        <v>0</v>
      </c>
      <c r="F91" s="57">
        <v>190590</v>
      </c>
      <c r="G91" s="15"/>
      <c r="H91" s="23">
        <v>2700</v>
      </c>
      <c r="I91" s="38">
        <f t="shared" si="2"/>
        <v>0</v>
      </c>
      <c r="M91" s="78"/>
      <c r="N91" s="86"/>
      <c r="O91" s="87"/>
      <c r="P91" s="73"/>
      <c r="Q91" s="79"/>
      <c r="R91" s="72"/>
      <c r="S91" s="78"/>
      <c r="T91" s="73"/>
    </row>
    <row r="92" spans="1:20" ht="18" customHeight="1" x14ac:dyDescent="0.2">
      <c r="A92" s="20">
        <v>76</v>
      </c>
      <c r="B92" s="22">
        <v>30000007</v>
      </c>
      <c r="C92" s="100" t="s">
        <v>69</v>
      </c>
      <c r="D92" s="100"/>
      <c r="E92" s="16">
        <v>0</v>
      </c>
      <c r="F92" s="57">
        <v>190590</v>
      </c>
      <c r="G92" s="15"/>
      <c r="H92" s="23">
        <v>2700</v>
      </c>
      <c r="I92" s="38">
        <f t="shared" si="2"/>
        <v>0</v>
      </c>
      <c r="M92" s="78"/>
      <c r="N92" s="86"/>
      <c r="O92" s="87"/>
      <c r="P92" s="73"/>
      <c r="Q92" s="79"/>
      <c r="R92" s="72"/>
      <c r="S92" s="78"/>
      <c r="T92" s="73"/>
    </row>
    <row r="93" spans="1:20" ht="18" customHeight="1" x14ac:dyDescent="0.2">
      <c r="A93" s="20">
        <v>77</v>
      </c>
      <c r="B93" s="22">
        <v>30000002</v>
      </c>
      <c r="C93" s="100" t="s">
        <v>92</v>
      </c>
      <c r="D93" s="100"/>
      <c r="E93" s="16">
        <v>0</v>
      </c>
      <c r="F93" s="57">
        <v>190590</v>
      </c>
      <c r="G93" s="15"/>
      <c r="H93" s="23">
        <v>2700</v>
      </c>
      <c r="I93" s="38">
        <f t="shared" si="2"/>
        <v>0</v>
      </c>
      <c r="M93" s="78"/>
      <c r="N93" s="86"/>
      <c r="O93" s="87"/>
      <c r="P93" s="73"/>
      <c r="Q93" s="79"/>
      <c r="R93" s="72"/>
      <c r="S93" s="78"/>
      <c r="T93" s="73"/>
    </row>
    <row r="94" spans="1:20" ht="18" customHeight="1" x14ac:dyDescent="0.2">
      <c r="A94" s="20">
        <v>78</v>
      </c>
      <c r="B94" s="26">
        <v>30000041</v>
      </c>
      <c r="C94" s="93" t="s">
        <v>70</v>
      </c>
      <c r="D94" s="93"/>
      <c r="E94" s="37">
        <v>0</v>
      </c>
      <c r="F94" s="57">
        <v>190590</v>
      </c>
      <c r="G94" s="28"/>
      <c r="H94" s="23">
        <v>2810</v>
      </c>
      <c r="I94" s="38">
        <f t="shared" si="2"/>
        <v>0</v>
      </c>
      <c r="M94" s="69"/>
      <c r="N94" s="86"/>
      <c r="O94" s="87"/>
      <c r="P94" s="73"/>
      <c r="Q94" s="77"/>
      <c r="R94" s="72"/>
      <c r="S94" s="69"/>
      <c r="T94" s="73"/>
    </row>
    <row r="95" spans="1:20" ht="18" customHeight="1" x14ac:dyDescent="0.2">
      <c r="A95" s="20">
        <v>79</v>
      </c>
      <c r="B95" s="26">
        <v>30000498</v>
      </c>
      <c r="C95" s="93" t="s">
        <v>71</v>
      </c>
      <c r="D95" s="93"/>
      <c r="E95" s="37">
        <v>0</v>
      </c>
      <c r="F95" s="57">
        <v>190590</v>
      </c>
      <c r="G95" s="28"/>
      <c r="H95" s="23">
        <v>2700</v>
      </c>
      <c r="I95" s="38">
        <f t="shared" si="2"/>
        <v>0</v>
      </c>
      <c r="M95" s="69"/>
      <c r="N95" s="86"/>
      <c r="O95" s="87"/>
      <c r="P95" s="73"/>
      <c r="Q95" s="77"/>
      <c r="R95" s="72"/>
      <c r="S95" s="69"/>
      <c r="T95" s="73"/>
    </row>
    <row r="96" spans="1:20" ht="18" customHeight="1" x14ac:dyDescent="0.2">
      <c r="A96" s="20">
        <v>80</v>
      </c>
      <c r="B96" s="26">
        <v>30000045</v>
      </c>
      <c r="C96" s="93" t="s">
        <v>72</v>
      </c>
      <c r="D96" s="93"/>
      <c r="E96" s="37">
        <v>0</v>
      </c>
      <c r="F96" s="57">
        <v>190590</v>
      </c>
      <c r="G96" s="28"/>
      <c r="H96" s="23">
        <v>2759</v>
      </c>
      <c r="I96" s="38">
        <f t="shared" si="2"/>
        <v>0</v>
      </c>
      <c r="M96" s="69"/>
      <c r="N96" s="86"/>
      <c r="O96" s="87"/>
      <c r="P96" s="73"/>
      <c r="Q96" s="77"/>
      <c r="R96" s="72"/>
      <c r="S96" s="69"/>
      <c r="T96" s="73"/>
    </row>
    <row r="97" spans="1:20" ht="18" customHeight="1" x14ac:dyDescent="0.2">
      <c r="A97" s="20">
        <v>81</v>
      </c>
      <c r="B97" s="26">
        <v>30000027</v>
      </c>
      <c r="C97" s="93" t="s">
        <v>73</v>
      </c>
      <c r="D97" s="93"/>
      <c r="E97" s="37">
        <v>0</v>
      </c>
      <c r="F97" s="57">
        <v>190590</v>
      </c>
      <c r="G97" s="28"/>
      <c r="H97" s="23">
        <v>2759</v>
      </c>
      <c r="I97" s="38">
        <f t="shared" si="2"/>
        <v>0</v>
      </c>
      <c r="M97" s="69"/>
      <c r="N97" s="86"/>
      <c r="O97" s="87"/>
      <c r="P97" s="73"/>
      <c r="Q97" s="77"/>
      <c r="R97" s="72"/>
      <c r="S97" s="69"/>
      <c r="T97" s="73"/>
    </row>
    <row r="98" spans="1:20" ht="18" customHeight="1" x14ac:dyDescent="0.2">
      <c r="A98" s="20">
        <v>82</v>
      </c>
      <c r="B98" s="26">
        <v>30000020</v>
      </c>
      <c r="C98" s="93" t="s">
        <v>74</v>
      </c>
      <c r="D98" s="93"/>
      <c r="E98" s="37">
        <v>0</v>
      </c>
      <c r="F98" s="57">
        <v>190590</v>
      </c>
      <c r="G98" s="28"/>
      <c r="H98" s="23">
        <v>2597</v>
      </c>
      <c r="I98" s="38">
        <f t="shared" si="2"/>
        <v>0</v>
      </c>
      <c r="M98" s="69"/>
      <c r="N98" s="86"/>
      <c r="O98" s="87"/>
      <c r="P98" s="73"/>
      <c r="Q98" s="77"/>
      <c r="R98" s="72"/>
      <c r="S98" s="69"/>
      <c r="T98" s="73"/>
    </row>
    <row r="99" spans="1:20" ht="18" customHeight="1" x14ac:dyDescent="0.2">
      <c r="A99" s="20">
        <v>83</v>
      </c>
      <c r="B99" s="34">
        <v>30000024</v>
      </c>
      <c r="C99" s="93" t="s">
        <v>75</v>
      </c>
      <c r="D99" s="93"/>
      <c r="E99" s="37">
        <v>0</v>
      </c>
      <c r="F99" s="57">
        <v>190590</v>
      </c>
      <c r="G99" s="28"/>
      <c r="H99" s="23">
        <v>2597</v>
      </c>
      <c r="I99" s="38">
        <f t="shared" si="2"/>
        <v>0</v>
      </c>
      <c r="M99" s="69"/>
      <c r="N99" s="86"/>
      <c r="O99" s="87"/>
      <c r="P99" s="73"/>
      <c r="Q99" s="77"/>
      <c r="R99" s="72"/>
      <c r="S99" s="69"/>
      <c r="T99" s="73"/>
    </row>
    <row r="100" spans="1:20" ht="18" customHeight="1" x14ac:dyDescent="0.2">
      <c r="A100" s="20">
        <v>84</v>
      </c>
      <c r="B100" s="26">
        <v>30000050</v>
      </c>
      <c r="C100" s="93" t="s">
        <v>76</v>
      </c>
      <c r="D100" s="93"/>
      <c r="E100" s="37">
        <v>0</v>
      </c>
      <c r="F100" s="57">
        <v>190590</v>
      </c>
      <c r="G100" s="28"/>
      <c r="H100" s="23">
        <v>2646</v>
      </c>
      <c r="I100" s="38">
        <f t="shared" si="2"/>
        <v>0</v>
      </c>
      <c r="M100" s="69"/>
      <c r="N100" s="86"/>
      <c r="O100" s="87"/>
      <c r="P100" s="73"/>
      <c r="Q100" s="73"/>
      <c r="R100" s="73"/>
      <c r="S100" s="73"/>
      <c r="T100" s="73"/>
    </row>
    <row r="101" spans="1:20" ht="18" customHeight="1" x14ac:dyDescent="0.2">
      <c r="A101" s="20">
        <v>85</v>
      </c>
      <c r="B101" s="26">
        <v>30000138</v>
      </c>
      <c r="C101" s="93" t="s">
        <v>77</v>
      </c>
      <c r="D101" s="93"/>
      <c r="E101" s="37">
        <v>0</v>
      </c>
      <c r="F101" s="57">
        <v>250100</v>
      </c>
      <c r="G101" s="28"/>
      <c r="H101" s="23">
        <v>310</v>
      </c>
      <c r="I101" s="38">
        <f>G101*H101</f>
        <v>0</v>
      </c>
      <c r="M101" s="69"/>
      <c r="N101" s="86"/>
      <c r="O101" s="87"/>
      <c r="P101" s="73"/>
      <c r="Q101" s="73"/>
      <c r="R101" s="73"/>
      <c r="S101" s="73"/>
      <c r="T101" s="73"/>
    </row>
    <row r="102" spans="1:20" ht="18" customHeight="1" x14ac:dyDescent="0.2">
      <c r="A102" s="20">
        <v>86</v>
      </c>
      <c r="B102" s="30">
        <v>30000848</v>
      </c>
      <c r="C102" s="93" t="s">
        <v>81</v>
      </c>
      <c r="D102" s="93"/>
      <c r="E102" s="37">
        <v>0</v>
      </c>
      <c r="F102" s="57">
        <v>250100</v>
      </c>
      <c r="G102" s="28"/>
      <c r="H102" s="23">
        <v>310</v>
      </c>
      <c r="I102" s="38">
        <f t="shared" si="2"/>
        <v>0</v>
      </c>
      <c r="M102" s="69"/>
      <c r="N102" s="86"/>
      <c r="O102" s="87"/>
      <c r="P102" s="73"/>
      <c r="Q102" s="73"/>
      <c r="R102" s="73"/>
      <c r="S102" s="73"/>
      <c r="T102" s="73"/>
    </row>
    <row r="103" spans="1:20" ht="18" customHeight="1" thickBot="1" x14ac:dyDescent="0.25">
      <c r="A103" s="21">
        <v>87</v>
      </c>
      <c r="B103" s="35">
        <v>30000143</v>
      </c>
      <c r="C103" s="95" t="s">
        <v>78</v>
      </c>
      <c r="D103" s="95"/>
      <c r="E103" s="39">
        <v>0</v>
      </c>
      <c r="F103" s="58">
        <v>250100</v>
      </c>
      <c r="G103" s="36"/>
      <c r="H103" s="40">
        <v>300</v>
      </c>
      <c r="I103" s="41">
        <f t="shared" si="2"/>
        <v>0</v>
      </c>
      <c r="M103" s="69"/>
      <c r="N103" s="86"/>
      <c r="O103" s="87"/>
      <c r="P103" s="73"/>
      <c r="Q103" s="73"/>
      <c r="R103" s="73"/>
      <c r="S103" s="73"/>
      <c r="T103" s="73"/>
    </row>
    <row r="104" spans="1:20" x14ac:dyDescent="0.25">
      <c r="A104" s="101" t="s">
        <v>11</v>
      </c>
      <c r="B104" s="102"/>
      <c r="C104" s="102"/>
      <c r="D104" s="102"/>
      <c r="E104" s="102"/>
      <c r="F104" s="102"/>
      <c r="G104" s="102"/>
      <c r="H104" s="103"/>
      <c r="I104" s="7">
        <f>SUM(I17:I84)</f>
        <v>106178.1</v>
      </c>
      <c r="M104" s="73"/>
      <c r="N104" s="88"/>
      <c r="O104" s="88"/>
      <c r="P104" s="73"/>
      <c r="Q104" s="73"/>
      <c r="R104" s="73"/>
      <c r="S104" s="73"/>
      <c r="T104" s="73"/>
    </row>
    <row r="105" spans="1:20" x14ac:dyDescent="0.25">
      <c r="A105" s="104" t="s">
        <v>10</v>
      </c>
      <c r="B105" s="105"/>
      <c r="C105" s="105"/>
      <c r="D105" s="105"/>
      <c r="E105" s="105"/>
      <c r="F105" s="105"/>
      <c r="G105" s="105"/>
      <c r="H105" s="106"/>
      <c r="I105" s="6">
        <f>SUM(I85:I103)</f>
        <v>0</v>
      </c>
      <c r="M105" s="73"/>
      <c r="N105" s="88"/>
      <c r="O105" s="88"/>
      <c r="P105" s="73"/>
      <c r="Q105" s="73"/>
      <c r="R105" s="73"/>
      <c r="S105" s="73"/>
      <c r="T105" s="73"/>
    </row>
    <row r="106" spans="1:20" ht="16.5" thickBot="1" x14ac:dyDescent="0.3">
      <c r="A106" s="97" t="s">
        <v>16</v>
      </c>
      <c r="B106" s="98"/>
      <c r="C106" s="98"/>
      <c r="D106" s="98"/>
      <c r="E106" s="98"/>
      <c r="F106" s="98"/>
      <c r="G106" s="98"/>
      <c r="H106" s="99"/>
      <c r="I106" s="8">
        <f>SUM(I104:I105)</f>
        <v>106178.1</v>
      </c>
      <c r="M106" s="73"/>
      <c r="N106" s="88"/>
      <c r="O106" s="88"/>
      <c r="P106" s="73"/>
      <c r="Q106" s="73"/>
      <c r="R106" s="73"/>
      <c r="S106" s="73"/>
      <c r="T106" s="73"/>
    </row>
    <row r="107" spans="1:20" x14ac:dyDescent="0.25">
      <c r="M107" s="73"/>
      <c r="N107" s="88"/>
      <c r="O107" s="88"/>
      <c r="P107" s="73"/>
      <c r="Q107" s="73"/>
      <c r="R107" s="73"/>
      <c r="S107" s="73"/>
      <c r="T107" s="80"/>
    </row>
    <row r="108" spans="1:20" x14ac:dyDescent="0.25">
      <c r="M108" s="73"/>
      <c r="N108" s="88"/>
      <c r="O108" s="88"/>
      <c r="P108" s="73"/>
      <c r="Q108" s="73"/>
      <c r="R108" s="73"/>
      <c r="S108" s="73"/>
      <c r="T108" s="80"/>
    </row>
    <row r="109" spans="1:20" x14ac:dyDescent="0.25">
      <c r="M109" s="73"/>
      <c r="N109" s="88"/>
      <c r="O109" s="88"/>
      <c r="P109" s="73"/>
      <c r="Q109" s="73"/>
      <c r="R109" s="73"/>
      <c r="S109" s="73"/>
      <c r="T109" s="80"/>
    </row>
    <row r="110" spans="1:20" x14ac:dyDescent="0.25">
      <c r="M110" s="80"/>
      <c r="N110" s="88"/>
      <c r="O110" s="88"/>
      <c r="P110" s="73"/>
      <c r="Q110" s="73"/>
      <c r="R110" s="73"/>
      <c r="S110" s="73"/>
      <c r="T110" s="73"/>
    </row>
    <row r="111" spans="1:20" x14ac:dyDescent="0.25">
      <c r="M111" s="80"/>
      <c r="N111" s="88"/>
      <c r="O111" s="88"/>
      <c r="P111" s="73"/>
      <c r="Q111" s="73"/>
      <c r="R111" s="73"/>
      <c r="S111" s="73"/>
      <c r="T111" s="73"/>
    </row>
    <row r="112" spans="1:20" x14ac:dyDescent="0.25">
      <c r="M112" s="80"/>
      <c r="N112" s="88"/>
      <c r="O112" s="88"/>
      <c r="P112" s="73"/>
      <c r="Q112" s="73"/>
      <c r="R112" s="73"/>
      <c r="S112" s="73"/>
      <c r="T112" s="73"/>
    </row>
    <row r="113" spans="10:20" x14ac:dyDescent="0.25">
      <c r="L113" s="43"/>
      <c r="M113" s="80"/>
      <c r="N113" s="88"/>
      <c r="O113" s="88"/>
      <c r="P113" s="73"/>
      <c r="Q113" s="73"/>
      <c r="R113" s="73"/>
      <c r="S113" s="73"/>
      <c r="T113" s="73"/>
    </row>
    <row r="114" spans="10:20" x14ac:dyDescent="0.25">
      <c r="J114" s="46"/>
      <c r="K114" s="43"/>
      <c r="L114" s="43"/>
      <c r="M114" s="80"/>
      <c r="N114" s="83"/>
      <c r="O114" s="83"/>
      <c r="P114" s="73"/>
      <c r="Q114" s="73"/>
      <c r="R114" s="73"/>
      <c r="S114" s="73"/>
      <c r="T114" s="73"/>
    </row>
    <row r="115" spans="10:20" x14ac:dyDescent="0.25">
      <c r="J115" s="47"/>
      <c r="K115" s="43"/>
      <c r="L115" s="43"/>
      <c r="M115" s="43"/>
      <c r="N115" s="82"/>
      <c r="O115" s="81"/>
    </row>
    <row r="116" spans="10:20" x14ac:dyDescent="0.25">
      <c r="J116" s="46"/>
      <c r="K116" s="43"/>
      <c r="M116" s="43"/>
      <c r="N116" s="82"/>
      <c r="O116" s="81"/>
    </row>
    <row r="117" spans="10:20" x14ac:dyDescent="0.25">
      <c r="J117" s="46"/>
      <c r="N117" s="82"/>
      <c r="O117" s="81"/>
    </row>
    <row r="118" spans="10:20" x14ac:dyDescent="0.25">
      <c r="J118" s="46"/>
      <c r="N118" s="81"/>
      <c r="O118" s="81"/>
    </row>
    <row r="119" spans="10:20" x14ac:dyDescent="0.25">
      <c r="J119" s="46"/>
      <c r="N119" s="81"/>
      <c r="O119" s="81"/>
    </row>
    <row r="120" spans="10:20" x14ac:dyDescent="0.25">
      <c r="J120" s="46"/>
      <c r="N120" s="81"/>
      <c r="O120" s="81"/>
    </row>
    <row r="121" spans="10:20" x14ac:dyDescent="0.25">
      <c r="J121" s="46"/>
      <c r="N121" s="81"/>
      <c r="O121" s="81"/>
    </row>
    <row r="122" spans="10:20" x14ac:dyDescent="0.25">
      <c r="J122" s="46"/>
      <c r="N122" s="81"/>
      <c r="O122" s="81"/>
    </row>
    <row r="123" spans="10:20" x14ac:dyDescent="0.25">
      <c r="M123" s="43"/>
    </row>
    <row r="124" spans="10:20" x14ac:dyDescent="0.25">
      <c r="M124" s="43"/>
    </row>
    <row r="125" spans="10:20" x14ac:dyDescent="0.25">
      <c r="M125" s="45"/>
    </row>
    <row r="128" spans="10:20" x14ac:dyDescent="0.25">
      <c r="M128" s="43"/>
    </row>
    <row r="129" spans="13:13" x14ac:dyDescent="0.25">
      <c r="M129" s="43"/>
    </row>
    <row r="130" spans="13:13" x14ac:dyDescent="0.25">
      <c r="M130" s="43"/>
    </row>
  </sheetData>
  <mergeCells count="112">
    <mergeCell ref="A9:C9"/>
    <mergeCell ref="D9:H9"/>
    <mergeCell ref="A10:C10"/>
    <mergeCell ref="A1:I1"/>
    <mergeCell ref="A2:I2"/>
    <mergeCell ref="A3:I3"/>
    <mergeCell ref="A4:I4"/>
    <mergeCell ref="A5:I5"/>
    <mergeCell ref="A6:I6"/>
    <mergeCell ref="D10:H10"/>
    <mergeCell ref="I10:I15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6:D26"/>
    <mergeCell ref="C27:D27"/>
    <mergeCell ref="C28:D28"/>
    <mergeCell ref="C30:D30"/>
    <mergeCell ref="C31:D31"/>
    <mergeCell ref="C32:D32"/>
    <mergeCell ref="C33:D33"/>
    <mergeCell ref="C34:D34"/>
    <mergeCell ref="C35:D35"/>
    <mergeCell ref="C29:D29"/>
    <mergeCell ref="C53:D53"/>
    <mergeCell ref="C54:D54"/>
    <mergeCell ref="C55:D55"/>
    <mergeCell ref="C56:D56"/>
    <mergeCell ref="C57:D57"/>
    <mergeCell ref="C58:D58"/>
    <mergeCell ref="C63:D63"/>
    <mergeCell ref="C68:D68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A106:H106"/>
    <mergeCell ref="C97:D97"/>
    <mergeCell ref="C98:D98"/>
    <mergeCell ref="C99:D99"/>
    <mergeCell ref="C100:D100"/>
    <mergeCell ref="C101:D101"/>
    <mergeCell ref="C102:D102"/>
    <mergeCell ref="C89:D89"/>
    <mergeCell ref="C90:D90"/>
    <mergeCell ref="C91:D91"/>
    <mergeCell ref="C92:D92"/>
    <mergeCell ref="C93:D93"/>
    <mergeCell ref="C94:D94"/>
    <mergeCell ref="C95:D95"/>
    <mergeCell ref="C96:D96"/>
    <mergeCell ref="A104:H104"/>
    <mergeCell ref="A105:H105"/>
    <mergeCell ref="C77:D77"/>
    <mergeCell ref="C67:D67"/>
    <mergeCell ref="C78:D78"/>
    <mergeCell ref="C79:D79"/>
    <mergeCell ref="C80:D80"/>
    <mergeCell ref="C81:D81"/>
    <mergeCell ref="C82:D82"/>
    <mergeCell ref="C83:D83"/>
    <mergeCell ref="C69:D69"/>
    <mergeCell ref="C70:D70"/>
    <mergeCell ref="C71:D71"/>
    <mergeCell ref="C72:D72"/>
    <mergeCell ref="C73:D73"/>
    <mergeCell ref="C76:D76"/>
    <mergeCell ref="C84:D84"/>
    <mergeCell ref="C74:D74"/>
    <mergeCell ref="C85:D85"/>
    <mergeCell ref="C86:D86"/>
    <mergeCell ref="C87:D87"/>
    <mergeCell ref="C88:D88"/>
    <mergeCell ref="C25:D25"/>
    <mergeCell ref="C75:D75"/>
    <mergeCell ref="C103:D103"/>
    <mergeCell ref="C66:D66"/>
    <mergeCell ref="C45:D45"/>
    <mergeCell ref="C46:D46"/>
    <mergeCell ref="C47:D47"/>
    <mergeCell ref="C48:D48"/>
    <mergeCell ref="C49:D49"/>
    <mergeCell ref="C50:D50"/>
    <mergeCell ref="C51:D51"/>
    <mergeCell ref="C59:D59"/>
    <mergeCell ref="C60:D60"/>
    <mergeCell ref="C61:D61"/>
    <mergeCell ref="C62:D62"/>
    <mergeCell ref="C64:D64"/>
    <mergeCell ref="C65:D65"/>
    <mergeCell ref="C52:D52"/>
  </mergeCells>
  <pageMargins left="0" right="0" top="0" bottom="0" header="0" footer="0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CHANGE_ME1</dc:creator>
  <cp:lastModifiedBy>Admin</cp:lastModifiedBy>
  <cp:lastPrinted>2023-03-02T14:19:15Z</cp:lastPrinted>
  <dcterms:created xsi:type="dcterms:W3CDTF">2009-11-10T05:11:44Z</dcterms:created>
  <dcterms:modified xsi:type="dcterms:W3CDTF">2025-12-04T12:58:56Z</dcterms:modified>
</cp:coreProperties>
</file>